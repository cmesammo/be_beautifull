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3491CB29-E780-4822-93CB-33722584A4E3}" xr6:coauthVersionLast="47" xr6:coauthVersionMax="47" xr10:uidLastSave="{00000000-0000-0000-0000-000000000000}"/>
  <bookViews>
    <workbookView xWindow="-108" yWindow="-108" windowWidth="23256" windowHeight="12456" firstSheet="20" activeTab="25" xr2:uid="{00000000-000D-0000-FFFF-FFFF00000000}"/>
  </bookViews>
  <sheets>
    <sheet name="Index" sheetId="1" r:id="rId1"/>
    <sheet name="TSPi Instructions" sheetId="2" r:id="rId2"/>
    <sheet name="TSP Instructions" sheetId="3" r:id="rId3"/>
    <sheet name="PlanGuide" sheetId="4" r:id="rId4"/>
    <sheet name="QualGuide" sheetId="5" r:id="rId5"/>
    <sheet name="Project" sheetId="6" r:id="rId6"/>
    <sheet name="Team" sheetId="7" r:id="rId7"/>
    <sheet name="Goals" sheetId="8" r:id="rId8"/>
    <sheet name="Roles" sheetId="9" r:id="rId9"/>
    <sheet name="SUMP" sheetId="10" r:id="rId10"/>
    <sheet name="SUMQ" sheetId="11" r:id="rId11"/>
    <sheet name="SUMS" sheetId="12" r:id="rId12"/>
    <sheet name="S" sheetId="13" r:id="rId13"/>
    <sheet name="Task" sheetId="14" r:id="rId14"/>
    <sheet name="Schedule" sheetId="15" r:id="rId15"/>
    <sheet name="Risk" sheetId="16" r:id="rId16"/>
    <sheet name="LOGT" sheetId="17" r:id="rId17"/>
    <sheet name="LOGD" sheetId="18" r:id="rId18"/>
    <sheet name="Week" sheetId="19" r:id="rId19"/>
    <sheet name="IRTL" sheetId="20" r:id="rId20"/>
    <sheet name="IRWeek" sheetId="21" r:id="rId21"/>
    <sheet name="DefectTypes" sheetId="22" r:id="rId22"/>
    <sheet name="Phases" sheetId="23" r:id="rId23"/>
    <sheet name="QProfParam" sheetId="24" r:id="rId24"/>
    <sheet name="Roles_E3" sheetId="27" r:id="rId25"/>
    <sheet name="Pruebas_E3" sheetId="28" r:id="rId26"/>
  </sheets>
  <definedNames>
    <definedName name="AsOfDateOverride">Project!$D$7</definedName>
    <definedName name="Compile_Defects_KLOC">SUMQ!$F$22</definedName>
    <definedName name="Compile_Defects_KLOC_Plan">SUMQ!$D$22</definedName>
    <definedName name="ComponentQP">Project!$AA$1:$AC$6</definedName>
    <definedName name="CR_Code_Time_Ratio">SUMQ!$F$41</definedName>
    <definedName name="CR_Code_Time_Ratio_Plan">SUMQ!$D$41</definedName>
    <definedName name="CumEarnedValue">Schedule!$A$7:$A$11,Schedule!$H$7:$H$11,Schedule!$J$7:$J$11,Schedule!$N$7:$N$11,Schedule!$R$7:$R$11</definedName>
    <definedName name="CumPlannedActualHours">Schedule!$A$7:$A$38,Schedule!$D$7:$D$38,Schedule!$F$7:$F$38,Schedule!$P$7:$P$38</definedName>
    <definedName name="Cumulative_Defects_Removed_Plan_Actual">SUMP!$AA$71:$AC$91</definedName>
    <definedName name="currentDate">Project!$D$3</definedName>
    <definedName name="Cycle">Project!$D$6</definedName>
    <definedName name="Defects_Injected_in_Phase_Actual_Percent">SUMP!$A$51:$A$68,SUMP!$F$51:$F$68</definedName>
    <definedName name="Defects_KLOC">SUMQ!$A$19:$A$26,SUMQ!$F$19:$F$26</definedName>
    <definedName name="Defects_KLOC_Plan">SUMQ!$A$19:$A$26,SUMQ!$D$19:$D$26</definedName>
    <definedName name="Defects_KLOC_Plan_Actual">SUMQ!$A$18:$A$26,SUMQ!$D$18:$D$26,SUMQ!$F$18:$F$26</definedName>
    <definedName name="Defects_Removed_in_Phase_Actual_Percent">SUMP!$A$72:$A$89,SUMP!$F$72:$F$89</definedName>
    <definedName name="Defects_Removed_Plan_Actual">SUMP!$A$71:$A$89,SUMP!$A$91:$A$92,SUMP!$B$71:$B$89,SUMP!$B$91:$B$92,SUMP!$D$71:$D$89,SUMP!$D$91:$D$92</definedName>
    <definedName name="DefectTypesDatabaseRange">DefectTypes!$A$1:$B$11</definedName>
    <definedName name="DLD_Code_Time_Ratio">SUMQ!$F$39</definedName>
    <definedName name="DLD_Code_Time_Ratio_Plan">SUMQ!$D$39</definedName>
    <definedName name="DLDR_DLD_Time_Ratio">SUMQ!$F$40</definedName>
    <definedName name="DLDR_DLD_Time_Ratio_Plan">SUMQ!$D$40</definedName>
    <definedName name="EarnedValue">Schedule!$A$7:$A$11,Schedule!$G$7:$G$11,Schedule!$I$7:$I$11,Schedule!$M$7:$M$11,Schedule!$Q$7:$Q$11</definedName>
    <definedName name="Excel_BuiltIn__FilterDatabase" localSheetId="17">LOGD!$A$6:$I$68</definedName>
    <definedName name="Excel_BuiltIn__FilterDatabase" localSheetId="16">LOGT!$A$1:$I$105</definedName>
    <definedName name="Excel_BuiltIn__FilterDatabase" localSheetId="14">Schedule!$A$1:$S$44</definedName>
    <definedName name="Excel_BuiltIn__FilterDatabase" localSheetId="11">SUMS!$A$1:$ER$131</definedName>
    <definedName name="Excel_BuiltIn__FilterDatabase" localSheetId="13">Task!$A$1:$AB$249</definedName>
    <definedName name="GoalsDatabaseRange">Goals!$A$2:$F$2</definedName>
    <definedName name="Inspection_Review_Rates_Plan_Actual">SUMQ!$A$43:$A$49,SUMQ!$D$43:$D$49,SUMQ!$F$43:$F$49</definedName>
    <definedName name="InstructorName">Project!$D$5</definedName>
    <definedName name="IRTLDatabaseRange">IRTL!$A$6:$K$6</definedName>
    <definedName name="LOGDDatabaseRange">LOGD!$A$6:$L$6</definedName>
    <definedName name="LOGTDatabaseRange">LOGT!$A$6:$I$6</definedName>
    <definedName name="Name">Project!$B$3</definedName>
    <definedName name="Phase_Yield_Plan_Actual">SUMQ!$A$54:$A$73,SUMQ!$D$54:$D$73,SUMQ!$F$54:$F$73</definedName>
    <definedName name="PhaseInjectionRateDefaults">SUMQ!$L$82:$L$99</definedName>
    <definedName name="PhasesDatabaseRange">Phases!$A$1:$E$25</definedName>
    <definedName name="PhaseYieldDefaults">SUMQ!$L$55:$L$73</definedName>
    <definedName name="PlannedActualHours">Schedule!$A$7:$A$38,Schedule!$C$7:$C$38,Schedule!$E$7:$E$38,Schedule!$O$7:$O$38</definedName>
    <definedName name="PlannedPhaseInjectionRates">SUMQ!$D$82:$D$99</definedName>
    <definedName name="PlannedPhaseYields">SUMQ!$D$55:$D$73</definedName>
    <definedName name="Process_Yield_Plan_Actual">SUMQ!$A$74:$A$79,SUMQ!$D$74:$D$79,SUMQ!$F$74:$F$79</definedName>
    <definedName name="ProjectInfo">Project!$B$3:$B$5,Project!$D$4:$D$7</definedName>
    <definedName name="ProjectName">Project!$B$4</definedName>
    <definedName name="ProjectStartDate">Project!$D$4</definedName>
    <definedName name="QPI_Plan_Actual">Project!$I$8:$J$9</definedName>
    <definedName name="QProfParams">QProfParam!$A$2:$B$6</definedName>
    <definedName name="RolesData">Roles!$A$20:$A$25,Roles!$B$2:$E$25</definedName>
    <definedName name="ScheduleDatabaseRange">Schedule!$A$7:$AR$7</definedName>
    <definedName name="SUMQData">SUMQ!$D$55:$D$73,SUMQ!$D$82:$D$99</definedName>
    <definedName name="SUMSDatabaseRange">SUMS!$A$7:$ER$7</definedName>
    <definedName name="SYSTEM_Percent_Defect_Free">SUMQ!$A$7:$A$12,SUMQ!$F$7:$F$12</definedName>
    <definedName name="TaskDatabaseRange">Task!$A$7:$AL$7</definedName>
    <definedName name="TeamData">Team!$B$2:$I$21</definedName>
    <definedName name="TeamDatabaseRange">Team!$A$1:$I$1</definedName>
    <definedName name="TeamName">Project!$B$5</definedName>
    <definedName name="TeamTasksHoursWeeks">Team!$G$2:$I$21</definedName>
    <definedName name="theWeekToShow">Week!$C$4</definedName>
    <definedName name="theWeekToShowDate">Week!$C$5</definedName>
    <definedName name="Time_in_Phase_Actual_Percent">SUMP!$A$23:$A$44,SUMP!$F$23:$F$44</definedName>
    <definedName name="TSPProcessName">Project!$A$1</definedName>
    <definedName name="Unit_Test_Defects_KLOC">SUMQ!$F$24</definedName>
    <definedName name="Unit_Test_Defects_KLOC_Plan">SUMQ!$D$24</definedName>
    <definedName name="validTeamMembersInitials">Team!$C$2:$C$21</definedName>
    <definedName name="Version">Project!$B$7</definedName>
    <definedName name="WeekAssemblySelected">Week!$E$5</definedName>
    <definedName name="WEEKData">Week!$C$7,Week!$C$8,Week!$G$7:$G$11,Week!$I$7:$I$11,Week!$Q$7:$Q$9</definedName>
    <definedName name="ZCmdBarName">"Custom3"</definedName>
  </definedNames>
  <calcPr calcId="191029"/>
</workbook>
</file>

<file path=xl/calcChain.xml><?xml version="1.0" encoding="utf-8"?>
<calcChain xmlns="http://schemas.openxmlformats.org/spreadsheetml/2006/main">
  <c r="J16" i="23" l="1"/>
  <c r="A41" i="11" s="1"/>
  <c r="I16" i="23"/>
  <c r="A34" i="11" s="1"/>
  <c r="J12" i="23"/>
  <c r="I12" i="23"/>
  <c r="J11" i="23"/>
  <c r="J10" i="23"/>
  <c r="J7" i="23"/>
  <c r="A37" i="11" s="1"/>
  <c r="I3" i="21"/>
  <c r="H3" i="21"/>
  <c r="C3" i="21"/>
  <c r="C2" i="21"/>
  <c r="A1" i="21"/>
  <c r="H3" i="20"/>
  <c r="G3" i="20"/>
  <c r="B3" i="20"/>
  <c r="B2" i="20"/>
  <c r="A1" i="20"/>
  <c r="E20" i="19"/>
  <c r="E19" i="19"/>
  <c r="E18" i="19"/>
  <c r="E17" i="19"/>
  <c r="E16" i="19"/>
  <c r="E15" i="19"/>
  <c r="I13" i="19"/>
  <c r="G13" i="19"/>
  <c r="C9" i="19"/>
  <c r="O3" i="19"/>
  <c r="M3" i="19"/>
  <c r="C3" i="19"/>
  <c r="O2" i="19"/>
  <c r="C2" i="19"/>
  <c r="A1" i="19"/>
  <c r="F3" i="18"/>
  <c r="E3" i="18"/>
  <c r="B3" i="18"/>
  <c r="B2" i="18"/>
  <c r="A1" i="18"/>
  <c r="F3" i="17"/>
  <c r="E3" i="17"/>
  <c r="B3" i="17"/>
  <c r="B2" i="17"/>
  <c r="A1" i="17"/>
  <c r="C5" i="15"/>
  <c r="B5" i="15"/>
  <c r="J4" i="15"/>
  <c r="C4" i="15"/>
  <c r="C3" i="15"/>
  <c r="C2" i="15"/>
  <c r="A1" i="15"/>
  <c r="I7" i="14"/>
  <c r="H7" i="14"/>
  <c r="G7" i="14"/>
  <c r="F7" i="14"/>
  <c r="E7" i="14"/>
  <c r="D7" i="14"/>
  <c r="B5" i="14"/>
  <c r="A5" i="14"/>
  <c r="B4" i="14"/>
  <c r="B3" i="14"/>
  <c r="B2" i="14"/>
  <c r="A1" i="14"/>
  <c r="EP7" i="12"/>
  <c r="EO7" i="12"/>
  <c r="EN7" i="12"/>
  <c r="EM7" i="12"/>
  <c r="EL7" i="12"/>
  <c r="EK7" i="12"/>
  <c r="EJ7" i="12"/>
  <c r="EI7" i="12"/>
  <c r="EH7" i="12"/>
  <c r="EG7" i="12"/>
  <c r="EF7" i="12"/>
  <c r="EE7" i="12"/>
  <c r="ED7" i="12"/>
  <c r="EC7" i="12"/>
  <c r="EB7" i="12"/>
  <c r="EA7" i="12"/>
  <c r="DZ7" i="12"/>
  <c r="DY7" i="12"/>
  <c r="DX7" i="12"/>
  <c r="DW7" i="12"/>
  <c r="DV7" i="12"/>
  <c r="DU7" i="12"/>
  <c r="DT7" i="12"/>
  <c r="DS7" i="12"/>
  <c r="DR7" i="12"/>
  <c r="DQ7" i="12"/>
  <c r="DP7" i="12"/>
  <c r="DO7" i="12"/>
  <c r="DN7" i="12"/>
  <c r="DM7" i="12"/>
  <c r="DL7" i="12"/>
  <c r="DK7" i="12"/>
  <c r="DJ7" i="12"/>
  <c r="DI7" i="12"/>
  <c r="DH7" i="12"/>
  <c r="DG7" i="12"/>
  <c r="DF7" i="12"/>
  <c r="DE7" i="12"/>
  <c r="DD7" i="12"/>
  <c r="DC7" i="12"/>
  <c r="DB7" i="12"/>
  <c r="DA7" i="12"/>
  <c r="CZ7" i="12"/>
  <c r="CY7" i="12"/>
  <c r="C5" i="12"/>
  <c r="B5" i="12"/>
  <c r="C3" i="12"/>
  <c r="C2" i="12"/>
  <c r="B1" i="12"/>
  <c r="F119" i="11"/>
  <c r="A119" i="11"/>
  <c r="F118" i="11"/>
  <c r="D118" i="11"/>
  <c r="A118" i="11"/>
  <c r="F117" i="11"/>
  <c r="D117" i="11"/>
  <c r="A117" i="11"/>
  <c r="F116" i="11"/>
  <c r="D116" i="11"/>
  <c r="A116" i="11"/>
  <c r="F115" i="11"/>
  <c r="D115" i="11"/>
  <c r="A115" i="11"/>
  <c r="F114" i="11"/>
  <c r="D114" i="11"/>
  <c r="A114" i="11"/>
  <c r="F113" i="11"/>
  <c r="D113" i="11"/>
  <c r="A113" i="11"/>
  <c r="F112" i="11"/>
  <c r="D112" i="11"/>
  <c r="A112" i="11"/>
  <c r="F111" i="11"/>
  <c r="D111" i="11"/>
  <c r="A111" i="11"/>
  <c r="F110" i="11"/>
  <c r="D110" i="11"/>
  <c r="A110" i="11"/>
  <c r="F109" i="11"/>
  <c r="D109" i="11"/>
  <c r="A109" i="11"/>
  <c r="F108" i="11"/>
  <c r="D108" i="11"/>
  <c r="A108" i="11"/>
  <c r="F107" i="11"/>
  <c r="D107" i="11"/>
  <c r="A107" i="11"/>
  <c r="F106" i="11"/>
  <c r="A106" i="11"/>
  <c r="F105" i="11"/>
  <c r="D105" i="11"/>
  <c r="A105" i="11"/>
  <c r="F104" i="11"/>
  <c r="D104" i="11"/>
  <c r="A104" i="11"/>
  <c r="F103" i="11"/>
  <c r="D103" i="11"/>
  <c r="A103" i="11"/>
  <c r="F102" i="11"/>
  <c r="D102" i="11"/>
  <c r="A102" i="11"/>
  <c r="K99" i="11"/>
  <c r="F99" i="11"/>
  <c r="A99" i="11"/>
  <c r="K98" i="11"/>
  <c r="F98" i="11"/>
  <c r="A98" i="11"/>
  <c r="F97" i="11"/>
  <c r="A97" i="11"/>
  <c r="K97" i="11" s="1"/>
  <c r="F96" i="11"/>
  <c r="A96" i="11"/>
  <c r="K96" i="11" s="1"/>
  <c r="F95" i="11"/>
  <c r="A95" i="11"/>
  <c r="K95" i="11" s="1"/>
  <c r="K94" i="11"/>
  <c r="F94" i="11"/>
  <c r="A94" i="11"/>
  <c r="K93" i="11"/>
  <c r="F93" i="11"/>
  <c r="A93" i="11"/>
  <c r="K92" i="11"/>
  <c r="F92" i="11"/>
  <c r="A92" i="11"/>
  <c r="F91" i="11"/>
  <c r="A91" i="11"/>
  <c r="K91" i="11" s="1"/>
  <c r="F90" i="11"/>
  <c r="A90" i="11"/>
  <c r="K90" i="11" s="1"/>
  <c r="K89" i="11"/>
  <c r="F89" i="11"/>
  <c r="A89" i="11"/>
  <c r="K88" i="11"/>
  <c r="F88" i="11"/>
  <c r="A88" i="11"/>
  <c r="K87" i="11"/>
  <c r="F87" i="11"/>
  <c r="A87" i="11"/>
  <c r="F86" i="11"/>
  <c r="A86" i="11"/>
  <c r="K86" i="11" s="1"/>
  <c r="F85" i="11"/>
  <c r="A85" i="11"/>
  <c r="K85" i="11" s="1"/>
  <c r="K84" i="11"/>
  <c r="F84" i="11"/>
  <c r="A84" i="11"/>
  <c r="K83" i="11"/>
  <c r="F83" i="11"/>
  <c r="A83" i="11"/>
  <c r="K82" i="11"/>
  <c r="F82" i="11"/>
  <c r="A82" i="11"/>
  <c r="D79" i="11"/>
  <c r="A79" i="11"/>
  <c r="A78" i="11"/>
  <c r="A77" i="11"/>
  <c r="A76" i="11"/>
  <c r="A75" i="11"/>
  <c r="F73" i="11"/>
  <c r="F72" i="11"/>
  <c r="A72" i="11"/>
  <c r="F71" i="11"/>
  <c r="A71" i="11"/>
  <c r="F70" i="11"/>
  <c r="A70" i="11"/>
  <c r="F69" i="11"/>
  <c r="A69" i="11"/>
  <c r="K69" i="11" s="1"/>
  <c r="F68" i="11"/>
  <c r="A68" i="11"/>
  <c r="K68" i="11" s="1"/>
  <c r="K67" i="11"/>
  <c r="F67" i="11"/>
  <c r="A67" i="11"/>
  <c r="K66" i="11"/>
  <c r="F66" i="11"/>
  <c r="A66" i="11"/>
  <c r="K65" i="11"/>
  <c r="F65" i="11"/>
  <c r="A65" i="11"/>
  <c r="F64" i="11"/>
  <c r="A64" i="11"/>
  <c r="K64" i="11" s="1"/>
  <c r="F63" i="11"/>
  <c r="A63" i="11"/>
  <c r="K63" i="11" s="1"/>
  <c r="F62" i="11"/>
  <c r="A62" i="11"/>
  <c r="K62" i="11" s="1"/>
  <c r="K61" i="11"/>
  <c r="F61" i="11"/>
  <c r="A61" i="11"/>
  <c r="K60" i="11"/>
  <c r="F60" i="11"/>
  <c r="A60" i="11"/>
  <c r="F59" i="11"/>
  <c r="A59" i="11"/>
  <c r="K59" i="11" s="1"/>
  <c r="F58" i="11"/>
  <c r="A58" i="11"/>
  <c r="K58" i="11" s="1"/>
  <c r="F57" i="11"/>
  <c r="A57" i="11"/>
  <c r="K57" i="11" s="1"/>
  <c r="K56" i="11"/>
  <c r="F56" i="11"/>
  <c r="A56" i="11"/>
  <c r="K55" i="11"/>
  <c r="F55" i="11"/>
  <c r="A55" i="11"/>
  <c r="D51" i="11"/>
  <c r="F49" i="11"/>
  <c r="D49" i="11"/>
  <c r="A49" i="11"/>
  <c r="F48" i="11"/>
  <c r="D48" i="11"/>
  <c r="A48" i="11"/>
  <c r="F47" i="11"/>
  <c r="D47" i="11"/>
  <c r="A47" i="11"/>
  <c r="F46" i="11"/>
  <c r="D46" i="11"/>
  <c r="A46" i="11"/>
  <c r="F45" i="11"/>
  <c r="D45" i="11"/>
  <c r="A45" i="11"/>
  <c r="F44" i="11"/>
  <c r="D44" i="11"/>
  <c r="A44" i="11"/>
  <c r="F41" i="11"/>
  <c r="D41" i="11"/>
  <c r="F40" i="11"/>
  <c r="D40" i="11"/>
  <c r="A40" i="11"/>
  <c r="F39" i="11"/>
  <c r="D39" i="11"/>
  <c r="A39" i="11"/>
  <c r="F38" i="11"/>
  <c r="D38" i="11"/>
  <c r="A38" i="11"/>
  <c r="F37" i="11"/>
  <c r="D37" i="11"/>
  <c r="F34" i="11"/>
  <c r="F33" i="11"/>
  <c r="A33" i="11"/>
  <c r="F29" i="11"/>
  <c r="D29" i="11"/>
  <c r="A29" i="11"/>
  <c r="F28" i="11"/>
  <c r="A28" i="11"/>
  <c r="F26" i="11"/>
  <c r="A26" i="11"/>
  <c r="F25" i="11"/>
  <c r="A25" i="11"/>
  <c r="F24" i="11"/>
  <c r="A24" i="11"/>
  <c r="F23" i="11"/>
  <c r="A23" i="11"/>
  <c r="F22" i="11"/>
  <c r="A22" i="11"/>
  <c r="F21" i="11"/>
  <c r="A21" i="11"/>
  <c r="F20" i="11"/>
  <c r="A20" i="11"/>
  <c r="F19" i="11"/>
  <c r="A19" i="11"/>
  <c r="F16" i="11"/>
  <c r="D16" i="11"/>
  <c r="A16" i="11"/>
  <c r="F15" i="11"/>
  <c r="D15" i="11"/>
  <c r="A15" i="11"/>
  <c r="A12" i="11"/>
  <c r="A11" i="11"/>
  <c r="A10" i="11"/>
  <c r="A9" i="11"/>
  <c r="A8" i="11"/>
  <c r="A7" i="11"/>
  <c r="I3" i="11"/>
  <c r="H3" i="11"/>
  <c r="B3" i="11"/>
  <c r="B2" i="11"/>
  <c r="A1" i="11"/>
  <c r="D98" i="10"/>
  <c r="B98" i="10"/>
  <c r="D97" i="10"/>
  <c r="B97" i="10"/>
  <c r="D96" i="10"/>
  <c r="D95" i="10"/>
  <c r="B95" i="10"/>
  <c r="A92" i="10"/>
  <c r="AA91" i="10" s="1"/>
  <c r="AA90" i="10"/>
  <c r="F89" i="10"/>
  <c r="A89" i="10"/>
  <c r="AA89" i="10" s="1"/>
  <c r="AA88" i="10"/>
  <c r="F88" i="10"/>
  <c r="A88" i="10"/>
  <c r="F87" i="10"/>
  <c r="A87" i="10"/>
  <c r="AA87" i="10" s="1"/>
  <c r="AA86" i="10"/>
  <c r="F86" i="10"/>
  <c r="A86" i="10"/>
  <c r="AA85" i="10"/>
  <c r="F85" i="10"/>
  <c r="A85" i="10"/>
  <c r="F84" i="10"/>
  <c r="A84" i="10"/>
  <c r="AA84" i="10" s="1"/>
  <c r="AA83" i="10"/>
  <c r="F83" i="10"/>
  <c r="A83" i="10"/>
  <c r="F82" i="10"/>
  <c r="A82" i="10"/>
  <c r="AA82" i="10" s="1"/>
  <c r="F81" i="10"/>
  <c r="A81" i="10"/>
  <c r="AA81" i="10" s="1"/>
  <c r="AA80" i="10"/>
  <c r="F80" i="10"/>
  <c r="A80" i="10"/>
  <c r="F79" i="10"/>
  <c r="A79" i="10"/>
  <c r="AA79" i="10" s="1"/>
  <c r="AA78" i="10"/>
  <c r="F78" i="10"/>
  <c r="A78" i="10"/>
  <c r="AA77" i="10"/>
  <c r="F77" i="10"/>
  <c r="A77" i="10"/>
  <c r="F76" i="10"/>
  <c r="A76" i="10"/>
  <c r="AA76" i="10" s="1"/>
  <c r="AA75" i="10"/>
  <c r="F75" i="10"/>
  <c r="A75" i="10"/>
  <c r="F74" i="10"/>
  <c r="A74" i="10"/>
  <c r="AA74" i="10" s="1"/>
  <c r="F73" i="10"/>
  <c r="B73" i="10"/>
  <c r="AB73" i="10" s="1"/>
  <c r="A73" i="10"/>
  <c r="AA73" i="10" s="1"/>
  <c r="AC72" i="10"/>
  <c r="AC73" i="10" s="1"/>
  <c r="AC74" i="10" s="1"/>
  <c r="AC75" i="10" s="1"/>
  <c r="AC76" i="10" s="1"/>
  <c r="AC77" i="10" s="1"/>
  <c r="AC78" i="10" s="1"/>
  <c r="AC79" i="10" s="1"/>
  <c r="AC80" i="10" s="1"/>
  <c r="AC81" i="10" s="1"/>
  <c r="AC82" i="10" s="1"/>
  <c r="AC83" i="10" s="1"/>
  <c r="AC84" i="10" s="1"/>
  <c r="AC85" i="10" s="1"/>
  <c r="AC86" i="10" s="1"/>
  <c r="AC87" i="10" s="1"/>
  <c r="AC88" i="10" s="1"/>
  <c r="AC89" i="10" s="1"/>
  <c r="AC90" i="10" s="1"/>
  <c r="AC91" i="10" s="1"/>
  <c r="AB72" i="10"/>
  <c r="AA72" i="10"/>
  <c r="F72" i="10"/>
  <c r="A72" i="10"/>
  <c r="A70" i="10"/>
  <c r="F68" i="10"/>
  <c r="B68" i="10"/>
  <c r="A68" i="10"/>
  <c r="F67" i="10"/>
  <c r="B67" i="10"/>
  <c r="A67" i="10"/>
  <c r="F66" i="10"/>
  <c r="B66" i="10"/>
  <c r="A66" i="10"/>
  <c r="F65" i="10"/>
  <c r="B65" i="10"/>
  <c r="A65" i="10"/>
  <c r="F64" i="10"/>
  <c r="B64" i="10"/>
  <c r="A64" i="10"/>
  <c r="F63" i="10"/>
  <c r="B63" i="10"/>
  <c r="A63" i="10"/>
  <c r="F62" i="10"/>
  <c r="A62" i="10"/>
  <c r="F61" i="10"/>
  <c r="B61" i="10"/>
  <c r="A61" i="10"/>
  <c r="F60" i="10"/>
  <c r="B60" i="10"/>
  <c r="A60" i="10"/>
  <c r="F59" i="10"/>
  <c r="B59" i="10"/>
  <c r="A59" i="10"/>
  <c r="F58" i="10"/>
  <c r="B58" i="10"/>
  <c r="A58" i="10"/>
  <c r="F57" i="10"/>
  <c r="B57" i="10"/>
  <c r="A57" i="10"/>
  <c r="F56" i="10"/>
  <c r="B56" i="10"/>
  <c r="A56" i="10"/>
  <c r="F55" i="10"/>
  <c r="B55" i="10"/>
  <c r="A55" i="10"/>
  <c r="F54" i="10"/>
  <c r="B54" i="10"/>
  <c r="A54" i="10"/>
  <c r="F53" i="10"/>
  <c r="A53" i="10"/>
  <c r="F52" i="10"/>
  <c r="A52" i="10"/>
  <c r="F51" i="10"/>
  <c r="F69" i="10" s="1"/>
  <c r="A51" i="10"/>
  <c r="A44" i="10"/>
  <c r="A43" i="10"/>
  <c r="A42" i="10"/>
  <c r="A41" i="10"/>
  <c r="A40" i="10"/>
  <c r="A39" i="10"/>
  <c r="A38" i="10"/>
  <c r="A37" i="10"/>
  <c r="A36" i="10"/>
  <c r="A35" i="10"/>
  <c r="A34" i="10"/>
  <c r="A33" i="10"/>
  <c r="A32" i="10"/>
  <c r="A31" i="10"/>
  <c r="A30" i="10"/>
  <c r="A29" i="10"/>
  <c r="A28" i="10"/>
  <c r="A27" i="10"/>
  <c r="A26" i="10"/>
  <c r="A25" i="10"/>
  <c r="A24" i="10"/>
  <c r="A23" i="10"/>
  <c r="I3" i="10"/>
  <c r="H3" i="10"/>
  <c r="B3" i="10"/>
  <c r="B2" i="10"/>
  <c r="A1" i="10"/>
  <c r="AC14" i="6"/>
  <c r="AB14" i="6"/>
  <c r="A1" i="3"/>
  <c r="A1" i="2"/>
  <c r="B74" i="10" l="1"/>
  <c r="AB74" i="10" l="1"/>
  <c r="B75" i="10"/>
  <c r="AB75" i="10" s="1"/>
  <c r="B76" i="10" l="1"/>
  <c r="AB76" i="10" l="1"/>
  <c r="D106" i="11"/>
  <c r="B77" i="10"/>
  <c r="AB77" i="10" l="1"/>
  <c r="B78" i="10"/>
  <c r="AB78" i="10" l="1"/>
  <c r="B79" i="10"/>
  <c r="AB79" i="10" s="1"/>
  <c r="B80" i="10" l="1"/>
  <c r="D19" i="11" l="1"/>
  <c r="AB80" i="10"/>
  <c r="B81" i="10"/>
  <c r="AB81" i="10" l="1"/>
  <c r="B82" i="10"/>
  <c r="D20" i="11" l="1"/>
  <c r="AB82" i="10"/>
  <c r="AB83" i="10" s="1"/>
  <c r="B84" i="10"/>
  <c r="AB84" i="10" l="1"/>
  <c r="D21" i="11"/>
  <c r="B85" i="10"/>
  <c r="D75" i="11"/>
  <c r="D34" i="11" l="1"/>
  <c r="D22" i="11"/>
  <c r="AB85" i="10"/>
  <c r="B86" i="10"/>
  <c r="AB86" i="10" l="1"/>
  <c r="D23" i="11"/>
  <c r="D76" i="11"/>
  <c r="B87" i="10"/>
  <c r="AB87" i="10" l="1"/>
  <c r="D24" i="11"/>
  <c r="D33" i="11"/>
  <c r="D77" i="11"/>
  <c r="B88" i="10"/>
  <c r="D25" i="11" l="1"/>
  <c r="AB88" i="10"/>
  <c r="D78" i="11"/>
  <c r="B89" i="10"/>
  <c r="D119" i="11" l="1"/>
  <c r="AB89" i="10"/>
  <c r="D26" i="11"/>
  <c r="B91" i="10"/>
  <c r="AB90" i="10" l="1"/>
  <c r="AB91" i="10" s="1"/>
  <c r="D28" i="11"/>
</calcChain>
</file>

<file path=xl/sharedStrings.xml><?xml version="1.0" encoding="utf-8"?>
<sst xmlns="http://schemas.openxmlformats.org/spreadsheetml/2006/main" count="2414" uniqueCount="995">
  <si>
    <t>Index of Forms and Charts</t>
  </si>
  <si>
    <t>FORMS</t>
  </si>
  <si>
    <t>Description</t>
  </si>
  <si>
    <t>CHARTS</t>
  </si>
  <si>
    <t>Launch Meeting/Planning Forms</t>
  </si>
  <si>
    <t>Cumulative Earned Value</t>
  </si>
  <si>
    <t>Cumulative Planned vs. earned  vs. projected earned value</t>
  </si>
  <si>
    <t>Use these forms to plan a new project</t>
  </si>
  <si>
    <t>Earned Value per Week</t>
  </si>
  <si>
    <t xml:space="preserve"> Planned, earned, and  projected value per week</t>
  </si>
  <si>
    <t>Project</t>
  </si>
  <si>
    <t>Project startup and summary form</t>
  </si>
  <si>
    <t>Cumulative Plan vs. Actual Hours</t>
  </si>
  <si>
    <t>Cumulative planned vs. actual hours per week</t>
  </si>
  <si>
    <t>Team</t>
  </si>
  <si>
    <t>Team member summary</t>
  </si>
  <si>
    <t>Plan vs. Actual Hours per Week</t>
  </si>
  <si>
    <t>Planned vs. actual hours per week</t>
  </si>
  <si>
    <t>Roles</t>
  </si>
  <si>
    <t>TSPe role assignments</t>
  </si>
  <si>
    <t>Percent Defect Free</t>
  </si>
  <si>
    <t>Percent of components that are defect free by phase</t>
  </si>
  <si>
    <t>Goals</t>
  </si>
  <si>
    <t>Team goals</t>
  </si>
  <si>
    <t>Cumulative Defects Removed by Phase</t>
  </si>
  <si>
    <t>Cumulative defects removed by phase for each component</t>
  </si>
  <si>
    <t>SUMS</t>
  </si>
  <si>
    <t>Size summary</t>
  </si>
  <si>
    <t>Defects Removed by Phase</t>
  </si>
  <si>
    <t>Defects removed by phase for each component</t>
  </si>
  <si>
    <t>Task</t>
  </si>
  <si>
    <t>Task plan template</t>
  </si>
  <si>
    <t>Defect Density by Phase</t>
  </si>
  <si>
    <t>Defects per KLOC by phase for each component</t>
  </si>
  <si>
    <t>Schedule</t>
  </si>
  <si>
    <t>Schedule plan template</t>
  </si>
  <si>
    <t>Review Rates</t>
  </si>
  <si>
    <t>Inspection and review rates for each component</t>
  </si>
  <si>
    <t>Phase Yield</t>
  </si>
  <si>
    <t>Phase yield for each component</t>
  </si>
  <si>
    <t>Process Yield</t>
  </si>
  <si>
    <t>Process yield for each component</t>
  </si>
  <si>
    <t>Quality Profile</t>
  </si>
  <si>
    <t>Five point quality profile for each component</t>
  </si>
  <si>
    <t>Time in Phase%</t>
  </si>
  <si>
    <t>Percentage of time spent in each phase</t>
  </si>
  <si>
    <t>Defects Injected%</t>
  </si>
  <si>
    <t>Percentage of defects injected in each phase</t>
  </si>
  <si>
    <t>Defects Removed%</t>
  </si>
  <si>
    <t>Percentage of defects removed in each phase</t>
  </si>
  <si>
    <t>Weekly Meeting/Tracking Forms</t>
  </si>
  <si>
    <t>Use these forms for gathering data and tracking</t>
  </si>
  <si>
    <t>TimeLog</t>
  </si>
  <si>
    <t>Time recording Log</t>
  </si>
  <si>
    <t>DefectLog</t>
  </si>
  <si>
    <t>Defect recording log</t>
  </si>
  <si>
    <t>Weekly meeting status report</t>
  </si>
  <si>
    <t>Quality actuals for system and components</t>
  </si>
  <si>
    <t>Resource actuals for system and components</t>
  </si>
  <si>
    <t>Defects injected/removed for system and components</t>
  </si>
  <si>
    <t>Standards</t>
  </si>
  <si>
    <t>Phases</t>
  </si>
  <si>
    <t>TSPe process phase standard</t>
  </si>
  <si>
    <t>DefectTypes</t>
  </si>
  <si>
    <t>Defect type standard</t>
  </si>
  <si>
    <t>Strategy Development and Planning</t>
  </si>
  <si>
    <t>TSPi Process : Step</t>
  </si>
  <si>
    <t>WHO</t>
  </si>
  <si>
    <t>TOOL INSTRUCTIONS</t>
  </si>
  <si>
    <t>FORM</t>
  </si>
  <si>
    <t>Before STRAT1</t>
  </si>
  <si>
    <t>Team Leader</t>
  </si>
  <si>
    <t>Fill out the project information on the Project worksheet (Name, Team name, Project name, Start Date, Instructor, Cycle).</t>
  </si>
  <si>
    <t>Project!Name</t>
  </si>
  <si>
    <t>Enter the team member names, initials, phone numbers, e-mail addresses, and filenames for the team members workbooks in the Team worksheet.</t>
  </si>
  <si>
    <t>Team!B2</t>
  </si>
  <si>
    <t>Enter the role assignments on the Roles worksheet.</t>
  </si>
  <si>
    <t>Roles!B2</t>
  </si>
  <si>
    <t>STRAT: Establish Team Goals</t>
  </si>
  <si>
    <t>Planning Manager</t>
  </si>
  <si>
    <t>Enter the team goals on the Goals worksheet</t>
  </si>
  <si>
    <t>Goals!B3</t>
  </si>
  <si>
    <t>STRAT1: Produce the Size Estimate</t>
  </si>
  <si>
    <t>Enter on the SUMS worksheet, the names and size estimates of all assemblies and parts for this cycle.</t>
  </si>
  <si>
    <t>SUMS!B8</t>
  </si>
  <si>
    <t>PLAN1: Produce the Task Plan</t>
  </si>
  <si>
    <t>Click the Generate Task List button to create a default task list.</t>
  </si>
  <si>
    <t>Task!A8</t>
  </si>
  <si>
    <t>Revise the task list adding or deleting tasks as necessary. Then for each task, estimate the size where appropriate,  the time, and the time for each engineer assigned to the task.</t>
  </si>
  <si>
    <t>PLAN1: Produce the Schedule Plan</t>
  </si>
  <si>
    <t>Enter hours per week in the Schedule template. Hours per week are based on the total hours for the team for each week in the schedule.</t>
  </si>
  <si>
    <t>Schedule!C8</t>
  </si>
  <si>
    <t>Click the Update Task and Schedule Plan button on the Task Worksheet to generate a schedule.</t>
  </si>
  <si>
    <t>PLAN1: Quality Plan</t>
  </si>
  <si>
    <t>Before creating the quality plan, review the quality standard in the textbook.</t>
  </si>
  <si>
    <t>Quality/Process Manager</t>
  </si>
  <si>
    <t xml:space="preserve">Enter the planned defect injection rates for each phase on the SUMQ worksheet. </t>
  </si>
  <si>
    <t>SUMQ!D82</t>
  </si>
  <si>
    <t>Enter estimated phase yields for each phase.</t>
  </si>
  <si>
    <t>SUMQ!D55</t>
  </si>
  <si>
    <t>Review the calculated defect removal rates and defect densities (Defects/KLOC) against the Quality Standard. If necessary, adjust planned time (Task worksheet), defect injection rates (SUMQ), or defect removal yields (SUMQ).</t>
  </si>
  <si>
    <t>PLAN: Balance Workload</t>
  </si>
  <si>
    <t>Make 1 copy of the team workbook for each engineer. Use the filename entered on the Team worksheet (Workbook Filename). Click the Make copies... button to create the copies automatically.</t>
  </si>
  <si>
    <t>Each engineer</t>
  </si>
  <si>
    <t>Revise the tasks in the Task worksheet  to reflect the individual engineers workload (e.g. delete task not assigned to you, and where you share an assignment with other engineers, set their planned hours to zero).</t>
  </si>
  <si>
    <t>Revise the schedule plan on the Schedule worksheet to reflect your available hours per week.</t>
  </si>
  <si>
    <t>Load the engineers' individual worksheets and the consolidated team plan workbook into the same folder. Open the consolidated team plan workbook. Click the consolidate plan button on the Team worksheet to build a consolidated plan</t>
  </si>
  <si>
    <t>All team members</t>
  </si>
  <si>
    <t>If necessary, reassign tasks to balance the workload and repeat the previous 3 steps until a balanced plan is achieved. If planned times for any task change, review the quality plan and revise it if necessary.</t>
  </si>
  <si>
    <t>Weekly Tracking</t>
  </si>
  <si>
    <t>STRAT, PLAN, REQ, DES, IMP, TEST, PM</t>
  </si>
  <si>
    <t>During all TSPi phases, use the time log to record data on each task. Include the assembly and phase for each task, the date, start time, interrupt time, stop time, and comments.</t>
  </si>
  <si>
    <t>LOGT!A7</t>
  </si>
  <si>
    <t>REQ, DES, IMP, TEST</t>
  </si>
  <si>
    <t>During TSPi phases REQ, DES, IMP, and TEST, use the defect log to record data on each defect. Include the date, number, type, assembly, phase injected, phase removed, fix time, fix reference, and description</t>
  </si>
  <si>
    <t>LOGD!A7</t>
  </si>
  <si>
    <t>Weekly</t>
  </si>
  <si>
    <t>Click the Update Project button on the Project worksheet to update individual plans. Print the Task and Schedule worksheets.</t>
  </si>
  <si>
    <t>Print the Task worksheet.</t>
  </si>
  <si>
    <t>Print the Schedule worksheet.</t>
  </si>
  <si>
    <t>Prepare a Week report. The  worksheet Week includes the  planning summary information required for the week report.</t>
  </si>
  <si>
    <t>Week!C2</t>
  </si>
  <si>
    <t>Send a copy of your workbook to the planning manager for use in preparing the team's consolidated weekly report.</t>
  </si>
  <si>
    <t>Update consolidated team plan with the current week's data and prepare status reports for the weekly meeting.</t>
  </si>
  <si>
    <t>Load the individual engineers workbooks and the consolidated team workbook into the same folder. Open the consolidated team workbook. Click the Consolidate Plans button on Team worksheet to update consolidated team plan with the current week's data.</t>
  </si>
  <si>
    <t>Team!A2</t>
  </si>
  <si>
    <t>Select the Project worksheet and click the update project button before printing status reports for the weekly meeting.</t>
  </si>
  <si>
    <t>Select the Project worksheet, select the assembly SYSTEM, then select and print the following charts:
-Earned Value
-Plan vs. Actual Hours</t>
  </si>
  <si>
    <t>Weekly during implementation and testing phases</t>
  </si>
  <si>
    <t>Select the Project worksheet, select the assembly SYSTEM, then select and print the following charts:
-Defect Removal Profile
-Quality Profile
-Percent Defect Free</t>
  </si>
  <si>
    <t>Project and Cycle Postmortem</t>
  </si>
  <si>
    <t>PM</t>
  </si>
  <si>
    <t>Follow the weekly tracking instructions to prepare and print copies of the final task, schedule, and week reports.</t>
  </si>
  <si>
    <t>See weekly tracking instructions</t>
  </si>
  <si>
    <t>Select the Project worksheet and click the export button to save a copy of your data for the cycle.</t>
  </si>
  <si>
    <t>Select the SUMP worksheet and print a SUMP form for the SYSTEM and each assembly</t>
  </si>
  <si>
    <t>SUMP!B2</t>
  </si>
  <si>
    <t>Select the SUMQ worksheet and print a SUMQ form for the SYSTEM and each assembly</t>
  </si>
  <si>
    <t>SUMQ!B2</t>
  </si>
  <si>
    <t>Select the SUMS worksheet and print a SUMS form</t>
  </si>
  <si>
    <t>Select the Project worksheet and click the export button to save a copy of the consolidated team data for the cycle.</t>
  </si>
  <si>
    <t>TSP Process : Step</t>
  </si>
  <si>
    <t>Launch Meeting 2</t>
  </si>
  <si>
    <t>Launch Coach or Planning Manager</t>
  </si>
  <si>
    <t>Enter the role assignments on the Roles worksheet. (Optional)</t>
  </si>
  <si>
    <t>Enter the team goals on the Goals worksheet. (Optional)</t>
  </si>
  <si>
    <t>Goals!A3</t>
  </si>
  <si>
    <t>Launch Meeting 3</t>
  </si>
  <si>
    <t>Enter all the software assemblies identified during this meeting. Enter the name, assembly/part flag, part of, and size measure. Requirements and High-Level Design documents may also be entered on SUMS.</t>
  </si>
  <si>
    <t>Launch Meeting 4</t>
  </si>
  <si>
    <t>Enter on the SUMS worksheet, the size estimates of all software assemblies.</t>
  </si>
  <si>
    <t>Click the Generate Task List button to create an initial task list based on the assemblies on SUMS.</t>
  </si>
  <si>
    <t>Revise the initial task list by adding or deleting tasks as necessary. Then complete the estimate for each task by entering a size estimate, size measure, rate in units per hour, the estimated hours, and the number of engineers assigned to the task.</t>
  </si>
  <si>
    <t>Enter hours per week for the team on the Schedule template. Hours per week are based on the total hours for the team for each week in the schedule.</t>
  </si>
  <si>
    <t>Click the Update Task and Schedule Plan button on the Task Worksheet to generate the overall plan.</t>
  </si>
  <si>
    <t>Launch Meeting 5</t>
  </si>
  <si>
    <t>Before creating the quality plan, review the quality guidelines in the TSP Launch Notebook</t>
  </si>
  <si>
    <t>Launch Coach, Planning Manager, or Quality Manager</t>
  </si>
  <si>
    <t>Launch Meeting 6</t>
  </si>
  <si>
    <t>Enter the initials of the team member(s) assigned to each task in the resources column on worksheet Task.</t>
  </si>
  <si>
    <t>Enter the initials of the team member that owns each leaf assembly in the owner column on worksheet SUMS. Note that plan and actual size are copied from the owner's workbook to the team workbook during consolidation, so each leaf assembly MUST have an owner.</t>
  </si>
  <si>
    <t>Make 1 copy of the team workbook for the consolidated team plan. Make 1 copy of the team workbook for each engineer. Use the filename entered on the Team worksheet (Workbook Filename). Click the Make copies... button to create the engineer's copies automatically.</t>
  </si>
  <si>
    <t>Revise the tasks in the Task worksheet  to reflect the individual engineers workload (e.g. delete task not assigned to you, and where you share an assignment with other engineers, set the column Number of Engineers to 1).</t>
  </si>
  <si>
    <t>Click the Update Task and Schedule Plan button on the Task Worksheet to generate your individual plan. Repeat the previous two steps until you are satisfied with the plan</t>
  </si>
  <si>
    <t>Launch Meeting 7</t>
  </si>
  <si>
    <t>Enter the team risks on the IRTL worksheet. (Optional)</t>
  </si>
  <si>
    <t>IRTL!B7</t>
  </si>
  <si>
    <t>All</t>
  </si>
  <si>
    <t>While working, use the time log to record time spent on each task. Include the assembly and phase for each task, the date, start time, interrupt time, stop time, and comments.</t>
  </si>
  <si>
    <t>While working, use the defect log to record each defect found. Include the date, number, type, assembly, phase injected, phase removed, fix time, fix reference, and description</t>
  </si>
  <si>
    <t>While working, use the issue/risk tracking log (IRTL)  to record new issues and risks or to change status of existing issues or risks.</t>
  </si>
  <si>
    <t>To review status against your plan click the Update Project button on the project worksheet.</t>
  </si>
  <si>
    <t>Project!B3</t>
  </si>
  <si>
    <t>Ensure that the completion data for all completed tasks has been entered, and all size, time, and defect data for the week have been entered.</t>
  </si>
  <si>
    <t>Review the task on worksheet Task and move all organize them into the following order.
1-completed tasks
2-tasks planned for the next two weeks
3-remaining tasks</t>
  </si>
  <si>
    <t>Schedule!A8</t>
  </si>
  <si>
    <t>Prepare a weekly issue/risk report. The  worksheet IRWeek contains the information for this reportt.</t>
  </si>
  <si>
    <t>IRWeek!C2</t>
  </si>
  <si>
    <t>Team!A3</t>
  </si>
  <si>
    <t>Project and Phase Postmortem</t>
  </si>
  <si>
    <t>Select the IRTL worksheet and print a copy of  all team issues and risk</t>
  </si>
  <si>
    <t>Select the Project worksheet and click the export button to save a copy of the consolidated team data for the phase or project.</t>
  </si>
  <si>
    <t>General</t>
  </si>
  <si>
    <t xml:space="preserve"> - If your team does not have historical data, use these guidelines as standard planning factors.
 - In all cases, use your judgement.  If some guideline does not fit your case, use your best estimate instead.</t>
  </si>
  <si>
    <t>TSP Plans</t>
  </si>
  <si>
    <t xml:space="preserve">Overall plan - produced first by the total team and later adjusted to conform to the balanced plan.
Bottom-up plan - produced by each engineer for the next phase
Balanced plan - the next phase plan after load balancing </t>
  </si>
  <si>
    <t>Requirements</t>
  </si>
  <si>
    <t xml:space="preserve"> - The Requirements process depends heavily on The nature of The project, so no General guidelines are given.
 - In General, expect that all input materials will have be to inspected and substantially reworked.</t>
  </si>
  <si>
    <t>Requirements Inspections</t>
  </si>
  <si>
    <t xml:space="preserve"> - The QUAL guideline provides a General factor to use In determining The time needed for The Requirements inspection.
- Again, If this number is unrealistic for your project and situation, use your best estimate.</t>
  </si>
  <si>
    <t>High-Level Design</t>
  </si>
  <si>
    <t xml:space="preserve"> - The High-Level Design process is highly variable and The time depends principally on The size, complexity, and General nature of The system, so no General guideline is given.
 - Without prior data, most teams substantially underestimate The time High-Level Design will require.</t>
  </si>
  <si>
    <t>Implementation Phase</t>
  </si>
  <si>
    <t>Implementation covers detailed design through unit test.
 - Calculate total implementation time from LOC/hour rates.
- New or large modifications: about 10 LOC per hour.
- Small changes to large systems: about 5 LOC per hour.
 - Pick a number that seems appropriate for your project.
- Maintenance fixes, use an average rate: 5 and 20 hours per fix, depending on complexity and degree of testing.</t>
  </si>
  <si>
    <t>Implementation Allocation</t>
  </si>
  <si>
    <t>In estimating the implementation phases, 
 - Make an overall estimate based on LOC/hour rates.
 - Then use these percentages to Calculate The phase times.</t>
  </si>
  <si>
    <t>Detailed design - 22.1%</t>
  </si>
  <si>
    <t xml:space="preserve">Detailed design review - 11.1% </t>
  </si>
  <si>
    <t>Detailed design inspection - 8.8%</t>
  </si>
  <si>
    <t>Coding - 20.0%</t>
  </si>
  <si>
    <t>Code review - 10.0%</t>
  </si>
  <si>
    <t>Compiling - 3.4%</t>
  </si>
  <si>
    <t xml:space="preserve">Code inspection - 8.8% </t>
  </si>
  <si>
    <t>Unit test - 15.8%</t>
  </si>
  <si>
    <t>Integration and System Test</t>
  </si>
  <si>
    <t>For these phases, estimate the defect-free test time and add 5 hours per defect in integration and 10 hours in system test</t>
  </si>
  <si>
    <t>Measure</t>
  </si>
  <si>
    <t>Goal</t>
  </si>
  <si>
    <t>Comments</t>
  </si>
  <si>
    <t>Percent Defect Free (PDF)</t>
  </si>
  <si>
    <t xml:space="preserve">   Compile</t>
  </si>
  <si>
    <t>&gt; 10%</t>
  </si>
  <si>
    <t xml:space="preserve">   Unit Test</t>
  </si>
  <si>
    <t>&gt; 50%</t>
  </si>
  <si>
    <t xml:space="preserve">   Integration Test</t>
  </si>
  <si>
    <t>&gt; 70%</t>
  </si>
  <si>
    <t xml:space="preserve">   System Test</t>
  </si>
  <si>
    <t>&gt; 90%</t>
  </si>
  <si>
    <t>Defects/KLOC:</t>
  </si>
  <si>
    <t xml:space="preserve">   Total defects injected</t>
  </si>
  <si>
    <t>75 - 150</t>
  </si>
  <si>
    <t xml:space="preserve">If not PSP trained, use 100 to 200. </t>
  </si>
  <si>
    <t>&lt; 10</t>
  </si>
  <si>
    <t>All defects</t>
  </si>
  <si>
    <t>&lt; 5</t>
  </si>
  <si>
    <t>All major defects (in source LOC)</t>
  </si>
  <si>
    <t>&lt; 0.5</t>
  </si>
  <si>
    <t>&lt; 0.2</t>
  </si>
  <si>
    <t>Defect Ratios</t>
  </si>
  <si>
    <t xml:space="preserve">   Detailed design review defects /unit test defects</t>
  </si>
  <si>
    <t>&gt; 2.0</t>
  </si>
  <si>
    <t xml:space="preserve">   Code review defects/compile defects</t>
  </si>
  <si>
    <t>Development Time Ratios</t>
  </si>
  <si>
    <t xml:space="preserve">   Requirements inspection/requirements time</t>
  </si>
  <si>
    <t>&gt; 0.25</t>
  </si>
  <si>
    <t>Elicitation in requirements time</t>
  </si>
  <si>
    <t xml:space="preserve">   High-level design inspection/high-level design time</t>
  </si>
  <si>
    <t>&gt; 0.5</t>
  </si>
  <si>
    <t>Design work only, not studies</t>
  </si>
  <si>
    <t xml:space="preserve">   Detailed design/coding time</t>
  </si>
  <si>
    <t>&gt; 1.00</t>
  </si>
  <si>
    <t xml:space="preserve">   Detailed design review/detailed design time</t>
  </si>
  <si>
    <t xml:space="preserve">   Code review/code time</t>
  </si>
  <si>
    <t>Review and Inspection Rates</t>
  </si>
  <si>
    <t xml:space="preserve">   Requirements pages/hour</t>
  </si>
  <si>
    <t>&lt; 2</t>
  </si>
  <si>
    <t>Single-spaced text pages</t>
  </si>
  <si>
    <t xml:space="preserve">   High-level design pages/hour</t>
  </si>
  <si>
    <t>Formatted design logic</t>
  </si>
  <si>
    <t xml:space="preserve">   Detailed design text lines/hour</t>
  </si>
  <si>
    <t>&lt; 100</t>
  </si>
  <si>
    <t>Pseudocode ~ equal to 3 LOC</t>
  </si>
  <si>
    <t xml:space="preserve">   Code LOC/hour</t>
  </si>
  <si>
    <t>&lt; 200</t>
  </si>
  <si>
    <t>Logical LOC</t>
  </si>
  <si>
    <t>Defect Injection and Removal Rates</t>
  </si>
  <si>
    <t xml:space="preserve">   Requirements defects injected/hour</t>
  </si>
  <si>
    <t xml:space="preserve">Only major defects </t>
  </si>
  <si>
    <t xml:space="preserve">   Requirements inspection defects removed/hour</t>
  </si>
  <si>
    <t xml:space="preserve">   High-level design defects injected/hour</t>
  </si>
  <si>
    <t>Only major defects</t>
  </si>
  <si>
    <t xml:space="preserve">   High-level design inspection defects removed/hour</t>
  </si>
  <si>
    <t xml:space="preserve">   Detailed design defects injected/hour</t>
  </si>
  <si>
    <t>Only design defects</t>
  </si>
  <si>
    <t xml:space="preserve">   Detailed design review defects removed/hour</t>
  </si>
  <si>
    <t xml:space="preserve">   Detailed design inspection defects removed/hour</t>
  </si>
  <si>
    <t xml:space="preserve">   Code defects injected/hour</t>
  </si>
  <si>
    <t xml:space="preserve">   Code review defects removed/hour</t>
  </si>
  <si>
    <t>All defects in source LOC</t>
  </si>
  <si>
    <t xml:space="preserve">   Compile defects injected/hour</t>
  </si>
  <si>
    <t>Any defects</t>
  </si>
  <si>
    <t xml:space="preserve">   Code inspection defects removed/hour</t>
  </si>
  <si>
    <t xml:space="preserve">   Unit test defects injected/hour</t>
  </si>
  <si>
    <t>Phase Yields</t>
  </si>
  <si>
    <t xml:space="preserve">   Team requirements inspections</t>
  </si>
  <si>
    <t>~ 70%</t>
  </si>
  <si>
    <t>Not counting editorial comments</t>
  </si>
  <si>
    <t xml:space="preserve">   Design reviews and inspections</t>
  </si>
  <si>
    <t>Using state analysis, trace tables</t>
  </si>
  <si>
    <t xml:space="preserve">   Code reviews and inspections</t>
  </si>
  <si>
    <t>Using personal checklists</t>
  </si>
  <si>
    <t xml:space="preserve">   Compiling</t>
  </si>
  <si>
    <t>~ 50%</t>
  </si>
  <si>
    <t>90+ % of syntax defects</t>
  </si>
  <si>
    <t xml:space="preserve">   Unit test - at 5 or less defects/KLOC</t>
  </si>
  <si>
    <t>~ 90%</t>
  </si>
  <si>
    <t>For high defects/KLOC - 50-75%</t>
  </si>
  <si>
    <t xml:space="preserve">   Integration and system test - at &lt; 1.0 defects/KLOC</t>
  </si>
  <si>
    <t>~ 80%</t>
  </si>
  <si>
    <t>For high defects/KLOC - 30-65%</t>
  </si>
  <si>
    <t xml:space="preserve">   Acceptance test - at &lt; 1.0 defects/KLOC</t>
  </si>
  <si>
    <t>~ 65%</t>
  </si>
  <si>
    <t>For high defects/KLOC - 30%</t>
  </si>
  <si>
    <t xml:space="preserve">   Before compile</t>
  </si>
  <si>
    <t>&gt;75%</t>
  </si>
  <si>
    <t>Assuming sound design methods</t>
  </si>
  <si>
    <t xml:space="preserve">   Before unit test</t>
  </si>
  <si>
    <t>&gt; 85%</t>
  </si>
  <si>
    <t>Assuming logic checks in reviews</t>
  </si>
  <si>
    <t xml:space="preserve">   Before integration test</t>
  </si>
  <si>
    <t>&gt; 97.5%</t>
  </si>
  <si>
    <t>For small products, 1 defect max.</t>
  </si>
  <si>
    <t xml:space="preserve">   Before system test</t>
  </si>
  <si>
    <t>&gt; 99%</t>
  </si>
  <si>
    <t>TSPi</t>
  </si>
  <si>
    <t xml:space="preserve"> - Project Summary</t>
  </si>
  <si>
    <t>Plan</t>
  </si>
  <si>
    <t>Actual</t>
  </si>
  <si>
    <t>Phase</t>
  </si>
  <si>
    <t>%</t>
  </si>
  <si>
    <t>Design/Code Time</t>
  </si>
  <si>
    <t>Management and Miscellaneous</t>
  </si>
  <si>
    <t>Name</t>
  </si>
  <si>
    <t>Catálogo de Productos de Belleza Be Beautiful</t>
  </si>
  <si>
    <t>Date</t>
  </si>
  <si>
    <t>Code Review Time</t>
  </si>
  <si>
    <t>Launch and Strategy</t>
  </si>
  <si>
    <t>Desarrollo de Software en Equipo</t>
  </si>
  <si>
    <t>Start Date</t>
  </si>
  <si>
    <t>Compile Defects/KLOC</t>
  </si>
  <si>
    <t>Planning</t>
  </si>
  <si>
    <t>Subgrupo 4</t>
  </si>
  <si>
    <t>Instructor</t>
  </si>
  <si>
    <t>Martinez, Natalia</t>
  </si>
  <si>
    <t>Unit Test Ddefects/KLOC</t>
  </si>
  <si>
    <t>Assembly</t>
  </si>
  <si>
    <t>Cycle</t>
  </si>
  <si>
    <t>Design Review Time</t>
  </si>
  <si>
    <t>System Test Plan</t>
  </si>
  <si>
    <t xml:space="preserve">Version: </t>
  </si>
  <si>
    <t xml:space="preserve">TSPi.20041202. ©2004 Addison Wesley . </t>
  </si>
  <si>
    <t>Today's Date Override</t>
  </si>
  <si>
    <t>COMPILE</t>
  </si>
  <si>
    <t>REQ Inspection</t>
  </si>
  <si>
    <t>CODEINSP</t>
  </si>
  <si>
    <t>UT</t>
  </si>
  <si>
    <t>Integration Test Plan</t>
  </si>
  <si>
    <t>IT</t>
  </si>
  <si>
    <t>HLD Inspection</t>
  </si>
  <si>
    <t>ST</t>
  </si>
  <si>
    <t>Detailed Design</t>
  </si>
  <si>
    <t>1 Year</t>
  </si>
  <si>
    <t>DLD Review</t>
  </si>
  <si>
    <t>Product Life</t>
  </si>
  <si>
    <t>Test Development</t>
  </si>
  <si>
    <t>QPI</t>
  </si>
  <si>
    <t>DLD Inspection</t>
  </si>
  <si>
    <t>Code</t>
  </si>
  <si>
    <t>Code Review</t>
  </si>
  <si>
    <t>Compile</t>
  </si>
  <si>
    <t>Code Inspection</t>
  </si>
  <si>
    <t>Unit Test</t>
  </si>
  <si>
    <t>Build and Integration Test</t>
  </si>
  <si>
    <t>System Test</t>
  </si>
  <si>
    <t>Documentation</t>
  </si>
  <si>
    <t>Postmortem</t>
  </si>
  <si>
    <t>ID</t>
  </si>
  <si>
    <t>Initials</t>
  </si>
  <si>
    <t>Phone</t>
  </si>
  <si>
    <t>e-mail</t>
  </si>
  <si>
    <t>Workbook Filename</t>
  </si>
  <si>
    <t>Planned Tasks</t>
  </si>
  <si>
    <t>Planned Task Hours</t>
  </si>
  <si>
    <t>Planned Schedule Weeks</t>
  </si>
  <si>
    <t>Lozano Beltrán Andrea</t>
  </si>
  <si>
    <t>LBA</t>
  </si>
  <si>
    <t>alozanob@poligran.edu.co</t>
  </si>
  <si>
    <t>Luis Sánchez Edison Norvey</t>
  </si>
  <si>
    <t>ENLS</t>
  </si>
  <si>
    <t>enluis@poligran.edu.co</t>
  </si>
  <si>
    <t>Mesa Molina Camilo</t>
  </si>
  <si>
    <t>MMC</t>
  </si>
  <si>
    <t>cmesammo@poligran.edu.co</t>
  </si>
  <si>
    <t>Lugo Polo Cindy Catherine</t>
  </si>
  <si>
    <t>LPCC</t>
  </si>
  <si>
    <t>ccalugop@poligran.edu.co</t>
  </si>
  <si>
    <t>Jiménez Betancourt Ángel Damian</t>
  </si>
  <si>
    <t>JBAD</t>
  </si>
  <si>
    <t>adajimenez@poligran.edu.co</t>
  </si>
  <si>
    <t>Montañez Ruiz Miguel</t>
  </si>
  <si>
    <t>MRM</t>
  </si>
  <si>
    <t>manmontanez@poligran.edu.co</t>
  </si>
  <si>
    <t>Measures</t>
  </si>
  <si>
    <t>Tracking</t>
  </si>
  <si>
    <t>Stakeholders</t>
  </si>
  <si>
    <t>Who</t>
  </si>
  <si>
    <t>When</t>
  </si>
  <si>
    <t>Equipo Be Beautiful</t>
  </si>
  <si>
    <t>Mantener desviación de esfuerzo controlada</t>
  </si>
  <si>
    <t>≤ 15%</t>
  </si>
  <si>
    <t>4,73%</t>
  </si>
  <si>
    <t>Edison</t>
  </si>
  <si>
    <t>Cierre 23/06/2026</t>
  </si>
  <si>
    <t>Cerrar defectos críticos</t>
  </si>
  <si>
    <t>0 abiertos</t>
  </si>
  <si>
    <t>Cindy</t>
  </si>
  <si>
    <t>Semana 5</t>
  </si>
  <si>
    <t>Remoción temprana de defectos</t>
  </si>
  <si>
    <t>≥ 80%</t>
  </si>
  <si>
    <t>87,50%</t>
  </si>
  <si>
    <t>Cobertura de requisitos</t>
  </si>
  <si>
    <t>100%</t>
  </si>
  <si>
    <t>Cindy / Miguel</t>
  </si>
  <si>
    <t>Docente / rúbrica</t>
  </si>
  <si>
    <t>Consolidar evidencia TSP</t>
  </si>
  <si>
    <t>LOGT, LOGD, WEEK, TASK, SUMS</t>
  </si>
  <si>
    <t>Actualizado</t>
  </si>
  <si>
    <t>Edison / equipo</t>
  </si>
  <si>
    <t>Entrega 3</t>
  </si>
  <si>
    <t>Mantener alcance realista del prototipo</t>
  </si>
  <si>
    <t>Sin backend real / sin pagos reales</t>
  </si>
  <si>
    <t>Controlado</t>
  </si>
  <si>
    <t>Andrea / Camilo</t>
  </si>
  <si>
    <t>Team Member Roles</t>
  </si>
  <si>
    <t>Design</t>
  </si>
  <si>
    <t>Implementation</t>
  </si>
  <si>
    <t>Integration and Test</t>
  </si>
  <si>
    <t>Development Manager</t>
  </si>
  <si>
    <t>Support Manager</t>
  </si>
  <si>
    <t>Developer / Tester de apoyo</t>
  </si>
  <si>
    <t>Quality Manager</t>
  </si>
  <si>
    <t>Test Manager</t>
  </si>
  <si>
    <t>Program Size</t>
  </si>
  <si>
    <t>Total Requirements Pages (SRS)</t>
  </si>
  <si>
    <t>Total HLD Pages (SDS)</t>
  </si>
  <si>
    <t>Total Detailed Design Lines</t>
  </si>
  <si>
    <t>Base LOC (B)</t>
  </si>
  <si>
    <t>Deleted LOC (D)</t>
  </si>
  <si>
    <t>Modified LOC (M)</t>
  </si>
  <si>
    <t>Added LOC (A)</t>
  </si>
  <si>
    <t>Reused LOC (R)</t>
  </si>
  <si>
    <t>New and Changed LOC (N)</t>
  </si>
  <si>
    <t>Total LOC (T)</t>
  </si>
  <si>
    <t>Total New Reuse LOC</t>
  </si>
  <si>
    <t>Estimated Object LOC (E)</t>
  </si>
  <si>
    <t>Upper Prediction Interval (70%)</t>
  </si>
  <si>
    <t>Lower Prediction Interval (70%)</t>
  </si>
  <si>
    <t>Time in Phase (hours)</t>
  </si>
  <si>
    <t>Actual%</t>
  </si>
  <si>
    <t>Total</t>
  </si>
  <si>
    <t>Total Time UPI (70%)</t>
  </si>
  <si>
    <t>Total Time LPI (70%)</t>
  </si>
  <si>
    <t>Defects Injected</t>
  </si>
  <si>
    <t>Total Development Defects Injected</t>
  </si>
  <si>
    <t>Defects Removed</t>
  </si>
  <si>
    <t>Total Development Defects Removed</t>
  </si>
  <si>
    <t>Acceptance Test</t>
  </si>
  <si>
    <t>Summary</t>
  </si>
  <si>
    <t>LOC/Hour</t>
  </si>
  <si>
    <t>CPI (Cost-Performance Index)</t>
  </si>
  <si>
    <t>% Reuse</t>
  </si>
  <si>
    <t>% New Reuse</t>
  </si>
  <si>
    <t>SYSTEM Percent Defect Free</t>
  </si>
  <si>
    <t>Defects/Page</t>
  </si>
  <si>
    <t>Defects/KLOC</t>
  </si>
  <si>
    <t>Total Development</t>
  </si>
  <si>
    <t>Inspection/Review Rates</t>
  </si>
  <si>
    <t>A/FR</t>
  </si>
  <si>
    <t>Phase Yield Planning Guidelines</t>
  </si>
  <si>
    <t>Unit test - at &lt; 5 defects/KLOC</t>
  </si>
  <si>
    <t>Integration test at &lt; 1.0 defects/KLOC</t>
  </si>
  <si>
    <t>System test - at &lt; 1.0 defects/KLOC</t>
  </si>
  <si>
    <t>Acceptance test - at &lt; 1.0 defects/KLOC</t>
  </si>
  <si>
    <t>Process Yields</t>
  </si>
  <si>
    <t>Defect Injection Rates (Defects Injected Per Hour)</t>
  </si>
  <si>
    <t>Defect Injection Rates Planning Guidelines</t>
  </si>
  <si>
    <t>Defect Removal Rates</t>
  </si>
  <si>
    <t>Planned Size</t>
  </si>
  <si>
    <t>Actual Size</t>
  </si>
  <si>
    <t>Planned Defects Injected</t>
  </si>
  <si>
    <t>Actual Defects Injected</t>
  </si>
  <si>
    <t>Planned Defects Removed</t>
  </si>
  <si>
    <t>Actual Defects Removed</t>
  </si>
  <si>
    <t>Planned Time</t>
  </si>
  <si>
    <t>Actual Time</t>
  </si>
  <si>
    <t>Assembly, Sub-Assembly, or Part Name</t>
  </si>
  <si>
    <t>(A)ssembly or (P)art</t>
  </si>
  <si>
    <t>Parent Assembly Name</t>
  </si>
  <si>
    <t>Owner</t>
  </si>
  <si>
    <t>Size Measure</t>
  </si>
  <si>
    <t xml:space="preserve">Base </t>
  </si>
  <si>
    <t xml:space="preserve">Deleted </t>
  </si>
  <si>
    <t xml:space="preserve">Modified </t>
  </si>
  <si>
    <t xml:space="preserve">Added </t>
  </si>
  <si>
    <t xml:space="preserve">Reused </t>
  </si>
  <si>
    <t xml:space="preserve">New and Changed </t>
  </si>
  <si>
    <t xml:space="preserve">Total </t>
  </si>
  <si>
    <t xml:space="preserve">Total New Reuse </t>
  </si>
  <si>
    <t>Baseline Plan Date</t>
  </si>
  <si>
    <t>Baseline Plan Hours</t>
  </si>
  <si>
    <t>T01</t>
  </si>
  <si>
    <t>Correcciones de Entrega 1 y ajustes del nombre Be Beautiful</t>
  </si>
  <si>
    <t>P</t>
  </si>
  <si>
    <t>Be Beautiful</t>
  </si>
  <si>
    <t>Andrea</t>
  </si>
  <si>
    <t>LOC proxy</t>
  </si>
  <si>
    <t>T02</t>
  </si>
  <si>
    <t>Repositorio, estructura de carpetas y ambiente local</t>
  </si>
  <si>
    <t>Ángel</t>
  </si>
  <si>
    <t>T03</t>
  </si>
  <si>
    <t>Módulo de autenticación: registro, login y sesión local</t>
  </si>
  <si>
    <t>Edison / Camilo</t>
  </si>
  <si>
    <t>T04</t>
  </si>
  <si>
    <t>Catálogo seed de 20 productos</t>
  </si>
  <si>
    <t>Edison / Miguel</t>
  </si>
  <si>
    <t>T05</t>
  </si>
  <si>
    <t>Interfaz de catálogo, tarjetas y filtros visuales</t>
  </si>
  <si>
    <t>T06</t>
  </si>
  <si>
    <t>Vista de detalle de producto</t>
  </si>
  <si>
    <t>Camilo</t>
  </si>
  <si>
    <t>T07</t>
  </si>
  <si>
    <t>Búsqueda básica y búsqueda avanzada</t>
  </si>
  <si>
    <t>Camilo / Miguel</t>
  </si>
  <si>
    <t>T08</t>
  </si>
  <si>
    <t>Carrito de compras: agregar, actualizar y eliminar productos</t>
  </si>
  <si>
    <t>Camilo / Edison</t>
  </si>
  <si>
    <t>T09</t>
  </si>
  <si>
    <t>Validación de stock, subtotales y total general</t>
  </si>
  <si>
    <t>T10</t>
  </si>
  <si>
    <t>Confirmación simulada de pedido</t>
  </si>
  <si>
    <t>Andrea / Miguel</t>
  </si>
  <si>
    <t>T11</t>
  </si>
  <si>
    <t>Mensajes del sistema y textos de interfaz</t>
  </si>
  <si>
    <t>Cindy / Andrea</t>
  </si>
  <si>
    <t>T12</t>
  </si>
  <si>
    <t>Matriz de pruebas y ejecución funcional</t>
  </si>
  <si>
    <t>T13</t>
  </si>
  <si>
    <t>Corrección de defectos e integración del prototipo</t>
  </si>
  <si>
    <t>Todo el equipo</t>
  </si>
  <si>
    <t>T14</t>
  </si>
  <si>
    <t>Workbook TSP, LOGT, LOGD, SUMS y reportes semanales</t>
  </si>
  <si>
    <t>T15</t>
  </si>
  <si>
    <t>Actas, plan de calidad, riesgos y consolidado documental</t>
  </si>
  <si>
    <t>Andrea / Cindy / equipo</t>
  </si>
  <si>
    <t>T16</t>
  </si>
  <si>
    <t>Evidencias, respaldo, repositorio y soporte de entrega</t>
  </si>
  <si>
    <t>Ángel / Miguel</t>
  </si>
  <si>
    <t>Total Plan Hours</t>
  </si>
  <si>
    <t>Total Actual Hours</t>
  </si>
  <si>
    <t>Reminder:</t>
  </si>
  <si>
    <t>If Size and Rate are present, estimated hours is calculated as Size / Rate</t>
  </si>
  <si>
    <t>whenever the plan is updated. To prevent calculation, size or rate must be blank.</t>
  </si>
  <si>
    <t>Plan Hours by Role</t>
  </si>
  <si>
    <t>Total Resource Hours</t>
  </si>
  <si>
    <t>Resources</t>
  </si>
  <si>
    <t>Estimated Size</t>
  </si>
  <si>
    <t>Rate (per Hr.)</t>
  </si>
  <si>
    <t>Time in Phase %</t>
  </si>
  <si>
    <t>Estimated Hours</t>
  </si>
  <si>
    <t>Engrs</t>
  </si>
  <si>
    <t>Plan Hours</t>
  </si>
  <si>
    <t>Plan Date</t>
  </si>
  <si>
    <t>Plan Week</t>
  </si>
  <si>
    <t>Actual Hours</t>
  </si>
  <si>
    <t>Actual Date</t>
  </si>
  <si>
    <t>Actual Week</t>
  </si>
  <si>
    <t>Earned Value</t>
  </si>
  <si>
    <t>Cumulative EV</t>
  </si>
  <si>
    <t>Cumulative Plan Hours</t>
  </si>
  <si>
    <t>Cumulative Plan Value</t>
  </si>
  <si>
    <t>Plan Value</t>
  </si>
  <si>
    <t>Predicted Date</t>
  </si>
  <si>
    <t>Plan Date + Current Slip</t>
  </si>
  <si>
    <t>Committed Date</t>
  </si>
  <si>
    <t>Baseline Date</t>
  </si>
  <si>
    <t>Notes</t>
  </si>
  <si>
    <t>Start Week</t>
  </si>
  <si>
    <t>PHISW</t>
  </si>
  <si>
    <t>PHIEW</t>
  </si>
  <si>
    <t>DOC</t>
  </si>
  <si>
    <t>T01 - Correcciones de Entrega 1 y ajustes del nombre Be Beautiful</t>
  </si>
  <si>
    <t>Semana 4</t>
  </si>
  <si>
    <t>Ajustes de documento y normalización del proyecto.</t>
  </si>
  <si>
    <t>MGMT</t>
  </si>
  <si>
    <t>T02 - Repositorio, estructura de carpetas y ambiente local</t>
  </si>
  <si>
    <t>Organización de soporte y evidencias.</t>
  </si>
  <si>
    <t>CODE</t>
  </si>
  <si>
    <t>T03 - Módulo de autenticación: registro, login y sesión local</t>
  </si>
  <si>
    <t>Base para autenticación simulada.</t>
  </si>
  <si>
    <t>T04 - Catálogo seed de 20 productos</t>
  </si>
  <si>
    <t>Estructura local o mock de productos.</t>
  </si>
  <si>
    <t>HLD</t>
  </si>
  <si>
    <t>T05 - Interfaz de catálogo, tarjetas y filtros visuales</t>
  </si>
  <si>
    <t>Avance visual del catálogo y filtros.</t>
  </si>
  <si>
    <t>T06 - Vista de detalle de producto</t>
  </si>
  <si>
    <t>Detalle de producto en construcción.</t>
  </si>
  <si>
    <t>T07 - Búsqueda básica y búsqueda avanzada</t>
  </si>
  <si>
    <t>Servicio de productos y filtros en integración.</t>
  </si>
  <si>
    <t>T08 - Carrito de compras: agregar, actualizar y eliminar productos</t>
  </si>
  <si>
    <t>Lógica simulada del carrito y reglas pendientes.</t>
  </si>
  <si>
    <t>T09 - Validación de stock, subtotales y total general</t>
  </si>
  <si>
    <t>Reglas de negocio preparadas.</t>
  </si>
  <si>
    <t>T10 - Confirmación simulada de pedido</t>
  </si>
  <si>
    <t>Cierre del flujo como componente planeado.</t>
  </si>
  <si>
    <t>T11 - Mensajes del sistema y textos de interfaz</t>
  </si>
  <si>
    <t>Revisión de textos y mensajes.</t>
  </si>
  <si>
    <t>STP</t>
  </si>
  <si>
    <t>T12 - Matriz de pruebas y ejecución funcional</t>
  </si>
  <si>
    <t>Casos de prueba diseñados/preparados.</t>
  </si>
  <si>
    <t>T13 - Corrección de defectos e integración del prototipo</t>
  </si>
  <si>
    <t>Corrección de defectos y revisión de integración.</t>
  </si>
  <si>
    <t>PLAN</t>
  </si>
  <si>
    <t>T14 - Workbook TSP, LOGT, LOGD, SUMS y reportes semanales</t>
  </si>
  <si>
    <t>Actualización de registros y métricas.</t>
  </si>
  <si>
    <t>T15 - Actas, plan de calidad, riesgos y consolidado documental</t>
  </si>
  <si>
    <t>Consolidado documental de la entrega.</t>
  </si>
  <si>
    <t>T16 - Evidencias, respaldo, repositorio y soporte de entrega</t>
  </si>
  <si>
    <t>Soporte final de evidencias.</t>
  </si>
  <si>
    <t>Total Task Plan Hours</t>
  </si>
  <si>
    <t>Total Schedule Plan Hours</t>
  </si>
  <si>
    <t>Difference</t>
  </si>
  <si>
    <t>Week</t>
  </si>
  <si>
    <t>Planned Hours</t>
  </si>
  <si>
    <t>Cumulative Planned Hours</t>
  </si>
  <si>
    <t>Cumulative Actual Hours</t>
  </si>
  <si>
    <t>Planned Value</t>
  </si>
  <si>
    <t>Cumulative Planned Value</t>
  </si>
  <si>
    <t>Predicted Hours</t>
  </si>
  <si>
    <t>Cumulative Predicted Hours</t>
  </si>
  <si>
    <t>Predicted Earned Value</t>
  </si>
  <si>
    <t>Cumulative Predicted Earned Value</t>
  </si>
  <si>
    <t>Baseline Cumulative Plan Hours</t>
  </si>
  <si>
    <t>Baseline Plan Value</t>
  </si>
  <si>
    <t>Baseline Cumulative Plan Value</t>
  </si>
  <si>
    <t>Semana 2</t>
  </si>
  <si>
    <t>Planeación inicial y organización del equipo.</t>
  </si>
  <si>
    <t>Semana 3</t>
  </si>
  <si>
    <t>Cierre de Entrega 1 y preparación de mejoras.</t>
  </si>
  <si>
    <t>Actas 3 y 4, estimación por proxies, plan general.</t>
  </si>
  <si>
    <t>Semana final / Entrega 3</t>
  </si>
  <si>
    <t>Calidad, riesgos, Workbook, evidencias y cierre documental.</t>
  </si>
  <si>
    <t>Risk</t>
  </si>
  <si>
    <t>Impact</t>
  </si>
  <si>
    <t>Likelihood</t>
  </si>
  <si>
    <t>Priority</t>
  </si>
  <si>
    <t>Assigned</t>
  </si>
  <si>
    <t>Disponibilidad limitada de integrantes</t>
  </si>
  <si>
    <t>Inconsistencia entre nombres, categorías y documentos</t>
  </si>
  <si>
    <t>Retraso en integración del carrito con stock</t>
  </si>
  <si>
    <t>Búsqueda avanzada con resultados incorrectos</t>
  </si>
  <si>
    <t>Registro incompleto de tiempos en LOGT</t>
  </si>
  <si>
    <t>Defectos críticos abiertos cerca de la entrega</t>
  </si>
  <si>
    <t>Pérdida de archivos o versiones</t>
  </si>
  <si>
    <t>Diseño visual consume más tiempo que funcionalidad</t>
  </si>
  <si>
    <t>Falta de evidencia para sustentar avances</t>
  </si>
  <si>
    <t>Cambios de alcance solicitados tarde</t>
  </si>
  <si>
    <t>Hours</t>
  </si>
  <si>
    <t>Start</t>
  </si>
  <si>
    <t>Int.</t>
  </si>
  <si>
    <t>Stop</t>
  </si>
  <si>
    <t>Delta</t>
  </si>
  <si>
    <t>Andrea - Semana 2: acuerdos iniciales, roles y apoyo documental</t>
  </si>
  <si>
    <t>Camilo - Semana 2: revisión técnica del alcance y estructura inicial</t>
  </si>
  <si>
    <t>Revisión del prototipo base y componentes técnicos.</t>
  </si>
  <si>
    <t>Edison - Semana 2: planificación, tareas y base del Workbook</t>
  </si>
  <si>
    <t>Organización inicial de tareas, responsables, tiempos y estructura del Workbook.</t>
  </si>
  <si>
    <t>Cindy - Semana 2: revisión de calidad inicial y criterios</t>
  </si>
  <si>
    <t>Apoyo en criterios de revisión.</t>
  </si>
  <si>
    <t>Ángel - Semana 2: apoyo de repositorio y evidencias iniciales</t>
  </si>
  <si>
    <t>Organización inicial de soporte.</t>
  </si>
  <si>
    <t>Miguel - Semana 2: apoyo en revisión del catálogo y evidencias</t>
  </si>
  <si>
    <t>Apoyo de revisión y soporte documental.</t>
  </si>
  <si>
    <t>Andrea - Semana 3: cierre de Entrega 1 y revisión documental</t>
  </si>
  <si>
    <t>Revisión de documento y compromisos de mejora.</t>
  </si>
  <si>
    <t>Camilo - Semana 3: ajustes técnicos iniciales del catálogo</t>
  </si>
  <si>
    <t>Base visual y componentes iniciales del prototipo.</t>
  </si>
  <si>
    <t>Edison - Semana 3: cierre de avance y preparación de la siguiente fase</t>
  </si>
  <si>
    <t>Ajustes de planeación y trazabilidad.</t>
  </si>
  <si>
    <t>Cindy - Semana 3: revisión de calidad del documento inicial</t>
  </si>
  <si>
    <t>Identificación de mejoras para la siguiente fase.</t>
  </si>
  <si>
    <t>Ángel - Semana 3: soporte de archivos y repositorio</t>
  </si>
  <si>
    <t>Organización de archivos base.</t>
  </si>
  <si>
    <t>Miguel - Semana 3: apoyo en revisión de componentes y evidencias</t>
  </si>
  <si>
    <t>Apoyo documental y técnico inicial.</t>
  </si>
  <si>
    <t>Andrea - Semana 4: Acta 3, diseño conceptual y revisión de informe</t>
  </si>
  <si>
    <t>Ajuste de actas, texto y componentes del catálogo.</t>
  </si>
  <si>
    <t>Camilo - Semana 4: arquitectura, búsqueda, detalle y carrito inicial</t>
  </si>
  <si>
    <t>Avance de estructura técnica e integración parcial.</t>
  </si>
  <si>
    <t>Edison - Semana 4: estimación por componentes, recursos, TASK y Schedule</t>
  </si>
  <si>
    <t>Estimación de tamaño, horas, recursos y seguimiento del proyecto.</t>
  </si>
  <si>
    <t>Cindy - Semana 4: matriz de pruebas y control de defectos</t>
  </si>
  <si>
    <t>Preparación de pruebas y revisión de calidad.</t>
  </si>
  <si>
    <t>Ángel - Semana 4: soporte de repositorio y evidencias</t>
  </si>
  <si>
    <t>Soporte técnico y organización de evidencias.</t>
  </si>
  <si>
    <t>Miguel - Semana 4: apoyo a catálogo, búsqueda y pruebas</t>
  </si>
  <si>
    <t>Apoyo en revisión de componentes.</t>
  </si>
  <si>
    <t>Andrea - Semana final: consolidado final del informe, actas y sustentación</t>
  </si>
  <si>
    <t>Cierre documental de la Entrega 3 y revisión de coherencia final.</t>
  </si>
  <si>
    <t>Camilo - Semana final: integración final y revisión técnica del prototipo</t>
  </si>
  <si>
    <t>Revisión de carrito, búsqueda, estructura JavaScript y preparación de demo.</t>
  </si>
  <si>
    <t>Edison - Semana final: actualización del Workbook y cierre de planeación</t>
  </si>
  <si>
    <t>Consolidado de métricas finales, horas, fechas, desviación y trazabilidad de la entrega.</t>
  </si>
  <si>
    <t>Cindy - Semana final: calidad, LOGD, pruebas y riesgos de cierre</t>
  </si>
  <si>
    <t>Revisión de defectos, pruebas funcionales y riesgos antes del cierre.</t>
  </si>
  <si>
    <t>Ángel - Semana final: respaldo final, evidencias y paquete de entrega</t>
  </si>
  <si>
    <t>Soporte final de archivos, evidencias, respaldo y paquete de entrega.</t>
  </si>
  <si>
    <t>Miguel - Semana final: apoyo en pruebas, revisión funcional y cierre de evidencias</t>
  </si>
  <si>
    <t>Apoyo en pruebas funcionales, revisión de uso y evidencias para sustentación.</t>
  </si>
  <si>
    <t>Num</t>
  </si>
  <si>
    <t>Type</t>
  </si>
  <si>
    <t>Injected</t>
  </si>
  <si>
    <t>Removed</t>
  </si>
  <si>
    <t>Fix Time</t>
  </si>
  <si>
    <t>Fix Ref.</t>
  </si>
  <si>
    <t>Informe de avance</t>
  </si>
  <si>
    <t>D-01</t>
  </si>
  <si>
    <t>Inconsistencia en el nombre del proyecto y referencias anteriores.</t>
  </si>
  <si>
    <t>D-02</t>
  </si>
  <si>
    <t>Miguel no aparecía de forma consistente en equipo, roles y evidencias.</t>
  </si>
  <si>
    <t>Acta 3</t>
  </si>
  <si>
    <t>REQ</t>
  </si>
  <si>
    <t>D-03</t>
  </si>
  <si>
    <t>Uso de términos como base de datos/backend sin implementación real.</t>
  </si>
  <si>
    <t>D-04</t>
  </si>
  <si>
    <t>Redacción sobre encriptación de contraseñas no correspondía al prototipo.</t>
  </si>
  <si>
    <t>Catálogo</t>
  </si>
  <si>
    <t>D-05</t>
  </si>
  <si>
    <t>Categorías del catálogo requerían normalización con el alcance definido.</t>
  </si>
  <si>
    <t>Acta 4</t>
  </si>
  <si>
    <t>D-06</t>
  </si>
  <si>
    <t>Estimación inicial tenía demasiados ítems y se ajustó a 16 principales.</t>
  </si>
  <si>
    <t>D-07</t>
  </si>
  <si>
    <t>Horas y fechas no estaban alineadas con semanas académicas.</t>
  </si>
  <si>
    <t>Workbook</t>
  </si>
  <si>
    <t>D-08</t>
  </si>
  <si>
    <t>Inconsistencias entre LOC proxy, horas plan y consolidado del informe.</t>
  </si>
  <si>
    <t>productService.js</t>
  </si>
  <si>
    <t>D-09</t>
  </si>
  <si>
    <t>Servicio de productos requiere integración con datos locales o mock.</t>
  </si>
  <si>
    <t>main.js</t>
  </si>
  <si>
    <t>D-10</t>
  </si>
  <si>
    <t>Carrito solo aumenta contador, falta integración completa de cantidades.</t>
  </si>
  <si>
    <t>Interfaz</t>
  </si>
  <si>
    <t>D-11</t>
  </si>
  <si>
    <t>Botones de filtro tenían comportamiento visual sin conexión completa a datos.</t>
  </si>
  <si>
    <t>Acta 6</t>
  </si>
  <si>
    <t>D-12</t>
  </si>
  <si>
    <t>Fechas de siguiente fase requerían ajuste para no contradecir entrega actual.</t>
  </si>
  <si>
    <t>Acta 7</t>
  </si>
  <si>
    <t>D-13</t>
  </si>
  <si>
    <t>Título y fecha de gestión de riesgos necesitaban corrección.</t>
  </si>
  <si>
    <t>LOGT/WEEK</t>
  </si>
  <si>
    <t>D-14</t>
  </si>
  <si>
    <t>Registros semanales incompletos antes de consolidar Punto 8.</t>
  </si>
  <si>
    <t>Pruebas</t>
  </si>
  <si>
    <t>Pendiente</t>
  </si>
  <si>
    <t>D-15</t>
  </si>
  <si>
    <t>Algunos casos de prueba quedan preparados, no ejecutados completamente.</t>
  </si>
  <si>
    <t>Carrito</t>
  </si>
  <si>
    <t>D-16</t>
  </si>
  <si>
    <t>Integración final de carrito, stock y totales queda para siguiente fase.</t>
  </si>
  <si>
    <t>Status for Week</t>
  </si>
  <si>
    <t>Selected Assembly</t>
  </si>
  <si>
    <t>Week Date</t>
  </si>
  <si>
    <t>SYSTEM</t>
  </si>
  <si>
    <t>Task Hours %Change</t>
  </si>
  <si>
    <t>Weekly Data</t>
  </si>
  <si>
    <t>Plan / Actual</t>
  </si>
  <si>
    <t>Plan - Actual</t>
  </si>
  <si>
    <t>Project End Date</t>
  </si>
  <si>
    <t>Baseline</t>
  </si>
  <si>
    <t>Schedule hours for this week</t>
  </si>
  <si>
    <t>Current</t>
  </si>
  <si>
    <t>Schedule hours this cycle to date</t>
  </si>
  <si>
    <t>%Change</t>
  </si>
  <si>
    <t>Earned value for this week</t>
  </si>
  <si>
    <t>Predicted</t>
  </si>
  <si>
    <t>Earned value this cycle to date</t>
  </si>
  <si>
    <t>To-date hours for tasks completed</t>
  </si>
  <si>
    <t>To-date average hours per week</t>
  </si>
  <si>
    <t>EV per completed task hour to date</t>
  </si>
  <si>
    <t>Consolidated Team Member Schedule Data</t>
  </si>
  <si>
    <t>Totals</t>
  </si>
  <si>
    <t>Development Tasks Completed</t>
  </si>
  <si>
    <t>Resource</t>
  </si>
  <si>
    <t>Task Plan Hrs.</t>
  </si>
  <si>
    <t>Task Actual Hrs.</t>
  </si>
  <si>
    <t>Earned or Plan Value</t>
  </si>
  <si>
    <t>Plan vs. Actual Hrs.</t>
  </si>
  <si>
    <t>Baseline or Committed Date</t>
  </si>
  <si>
    <t>Slip Date</t>
  </si>
  <si>
    <t>T01 - Correcciones Entrega 1</t>
  </si>
  <si>
    <t>T02 - Repositorio y evidencias</t>
  </si>
  <si>
    <t>Acta 3 y diseño conceptual</t>
  </si>
  <si>
    <t>Andrea / Camilo / Edison</t>
  </si>
  <si>
    <t>Acta 4 y estimación por proxies</t>
  </si>
  <si>
    <t>Plan de calidad, riesgos y defectos</t>
  </si>
  <si>
    <t>Issue or Risk Number</t>
  </si>
  <si>
    <t xml:space="preserve"> R=Risk
 I=Issue</t>
  </si>
  <si>
    <t>Date Created</t>
  </si>
  <si>
    <t xml:space="preserve"> P=Personal
 T=Team</t>
  </si>
  <si>
    <t xml:space="preserve"> Likelihood (H,M,L)</t>
  </si>
  <si>
    <t xml:space="preserve"> Impact (H,M,L)</t>
  </si>
  <si>
    <t>Follow-up Date</t>
  </si>
  <si>
    <t>Current Status</t>
  </si>
  <si>
    <t>Date Status Changed</t>
  </si>
  <si>
    <t>R-01</t>
  </si>
  <si>
    <t>R</t>
  </si>
  <si>
    <t>T</t>
  </si>
  <si>
    <t>M</t>
  </si>
  <si>
    <t>H</t>
  </si>
  <si>
    <t>Seguimiento alto</t>
  </si>
  <si>
    <t>R-02</t>
  </si>
  <si>
    <t>Mitigado / seguimiento</t>
  </si>
  <si>
    <t>R-03</t>
  </si>
  <si>
    <t>R-04</t>
  </si>
  <si>
    <t>R-05</t>
  </si>
  <si>
    <t>R-06</t>
  </si>
  <si>
    <t>L</t>
  </si>
  <si>
    <t>R-07</t>
  </si>
  <si>
    <t>R-08</t>
  </si>
  <si>
    <t>R-09</t>
  </si>
  <si>
    <t>R-10</t>
  </si>
  <si>
    <t>Issue/Risk Number</t>
  </si>
  <si>
    <t>P=Personal T=Team</t>
  </si>
  <si>
    <t>R=Risk I=Issue</t>
  </si>
  <si>
    <t>Status</t>
  </si>
  <si>
    <t>Seguimiento</t>
  </si>
  <si>
    <t>Syntax</t>
  </si>
  <si>
    <t>Build, Package</t>
  </si>
  <si>
    <t>Assignment</t>
  </si>
  <si>
    <t>Interface</t>
  </si>
  <si>
    <t>Checking</t>
  </si>
  <si>
    <t>Data</t>
  </si>
  <si>
    <t>Function</t>
  </si>
  <si>
    <t>System</t>
  </si>
  <si>
    <t>Environment</t>
  </si>
  <si>
    <t>Task Generator
S-System
P-Part
N-None</t>
  </si>
  <si>
    <t>LOGT Track Time</t>
  </si>
  <si>
    <t>LOGD Track Defects Injected</t>
  </si>
  <si>
    <t>LOGD Track Defects Removed</t>
  </si>
  <si>
    <t>PDF</t>
  </si>
  <si>
    <t>DefDen</t>
  </si>
  <si>
    <t>DefRatios</t>
  </si>
  <si>
    <t>DevTimeRatio</t>
  </si>
  <si>
    <t>RvwRate</t>
  </si>
  <si>
    <t>PhaseYld</t>
  </si>
  <si>
    <t>ProcYld</t>
  </si>
  <si>
    <t>DI Rate</t>
  </si>
  <si>
    <t>DR Rate</t>
  </si>
  <si>
    <t>S</t>
  </si>
  <si>
    <t>Y</t>
  </si>
  <si>
    <t>N</t>
  </si>
  <si>
    <t>STRAT</t>
  </si>
  <si>
    <t>REQINSP</t>
  </si>
  <si>
    <t>ITP</t>
  </si>
  <si>
    <t>HLDINSP</t>
  </si>
  <si>
    <t>DLD</t>
  </si>
  <si>
    <t>DLDR</t>
  </si>
  <si>
    <t>TD</t>
  </si>
  <si>
    <t>DLDINSP</t>
  </si>
  <si>
    <t>CR</t>
  </si>
  <si>
    <t>y</t>
  </si>
  <si>
    <t>AT</t>
  </si>
  <si>
    <t>PL</t>
  </si>
  <si>
    <t>Parameter</t>
  </si>
  <si>
    <t>Value</t>
  </si>
  <si>
    <t xml:space="preserve">  Design time as % of coding time</t>
  </si>
  <si>
    <t xml:space="preserve">  Code review time as % of code time</t>
  </si>
  <si>
    <t xml:space="preserve">  Compile defects/KLOC</t>
  </si>
  <si>
    <t xml:space="preserve">  Unit test defects/KLOC</t>
  </si>
  <si>
    <t xml:space="preserve">  Design review time as % of design time</t>
  </si>
  <si>
    <t>Estado</t>
  </si>
  <si>
    <t>Registro</t>
  </si>
  <si>
    <t>Módulo artículos</t>
  </si>
  <si>
    <t>Carro de compras</t>
  </si>
  <si>
    <t>products.js</t>
  </si>
  <si>
    <t>Producto agotado</t>
  </si>
  <si>
    <t>Roles TSP, aportes reales y manejo autodirigido del equipo</t>
  </si>
  <si>
    <t>Integrante</t>
  </si>
  <si>
    <t>Rol formal TSP</t>
  </si>
  <si>
    <t>Responsabilidad esperada</t>
  </si>
  <si>
    <t>Aporte real observado</t>
  </si>
  <si>
    <t>Evidencia</t>
  </si>
  <si>
    <t>Horas plan</t>
  </si>
  <si>
    <t>Horas real</t>
  </si>
  <si>
    <t>Análisis para defender</t>
  </si>
  <si>
    <t>Andrea Lozano Beltrán</t>
  </si>
  <si>
    <t>Coordinar reuniones, compromisos, alcance y comunicación.</t>
  </si>
  <si>
    <t>Coordinó acuerdos, actas, revisión documental, textos de interfaz y preparación de sustentación.</t>
  </si>
  <si>
    <t>Actas, informe y consolidado documental.</t>
  </si>
  <si>
    <t>Mantuvo el enfoque en la rúbrica y ayudó a que el equipo no dejara evidencias para el final.</t>
  </si>
  <si>
    <t>Camilo Mesa Molina</t>
  </si>
  <si>
    <t>Guiar el desarrollo técnico y la integración del producto.</t>
  </si>
  <si>
    <t>Lideró interfaz, búsqueda, detalle, carrito, reglas de stock y corrección de defectos funcionales.</t>
  </si>
  <si>
    <t>Módulos JS y pruebas funcionales.</t>
  </si>
  <si>
    <t>Convirtió el catálogo en prototipo funcional y no solamente visual.</t>
  </si>
  <si>
    <t>Edison Norvey Luis Sánchez</t>
  </si>
  <si>
    <t>Gestionar plan, tareas, tiempos, métricas, cronograma y desviaciones del proyecto.</t>
  </si>
  <si>
    <t>Organizó el plan de trabajo, actualizó TASK, Schedule, LOGT y métricas; además apoyó la arquitectura, validaciones, pruebas manuales y revisión de lógica cuando el equipo lo necesitó.</t>
  </si>
  <si>
    <t>Workbook TSP, TASK, Schedule, LOGT, SUMS, métricas LOC y pruebas manuales.</t>
  </si>
  <si>
    <t>Su responsabilidad principal fue dejar clara la planeación y el seguimiento; el apoyo técnico quedó como colaboración propia de un equipo autodirigido.</t>
  </si>
  <si>
    <t>Cindy Lugo Polo</t>
  </si>
  <si>
    <t>Controlar proceso, calidad, riesgos, defectos y consistencia.</t>
  </si>
  <si>
    <t>Revisó defectos, riesgos, coherencia del informe, pruebas manuales y diferencias entre lo documentado y lo implementado.</t>
  </si>
  <si>
    <t>LOGD, Risk, informe final y pruebas.</t>
  </si>
  <si>
    <t>Ayudó a evitar afirmaciones técnicas no implementadas y a priorizar defectos relevantes para sustentación.</t>
  </si>
  <si>
    <t>Ángel Damian Jiménez Betancourt</t>
  </si>
  <si>
    <t>Asegurar repositorio, respaldo, estructura y evidencias.</t>
  </si>
  <si>
    <t>Organizó archivos, respaldos, soporte de entrega y disponibilidad del paquete final.</t>
  </si>
  <si>
    <t>ZIP, carpeta de evidencias y paquete final.</t>
  </si>
  <si>
    <t>Su rol redujo riesgo de pérdida de versiones y mejoró la reproducibilidad.</t>
  </si>
  <si>
    <t>Miguel Montañez Ruiz</t>
  </si>
  <si>
    <t>Developer/Tester de apoyo</t>
  </si>
  <si>
    <t>Apoyar desarrollo, pruebas y revisión funcional.</t>
  </si>
  <si>
    <t>Se incorporó en segunda fase; reforzó pruebas manuales, revisión de búsqueda, perspectiva de usuario y cierre de evidencias.</t>
  </si>
  <si>
    <t>Actas, pruebas y cierre funcional.</t>
  </si>
  <si>
    <t>Su ingreso funcionó como relanzamiento interno y ayudó a equilibrar carga.</t>
  </si>
  <si>
    <t>Pruebas funcionales finales del catálogo Be Beautiful</t>
  </si>
  <si>
    <t>Módulo</t>
  </si>
  <si>
    <t>Escenario</t>
  </si>
  <si>
    <t>Procedimiento manual</t>
  </si>
  <si>
    <t>Resultado esperado</t>
  </si>
  <si>
    <t>Resultado obtenido</t>
  </si>
  <si>
    <t>Criterio de rúbrica</t>
  </si>
  <si>
    <t>P01</t>
  </si>
  <si>
    <t>Artículos</t>
  </si>
  <si>
    <t>Validar 20 productos</t>
  </si>
  <si>
    <t>Abrir catálogo y contar productos cargados.</t>
  </si>
  <si>
    <t>20 artículos visibles o disponibles en datos.</t>
  </si>
  <si>
    <t>20 productos encontrados.</t>
  </si>
  <si>
    <t>PASS</t>
  </si>
  <si>
    <t>P02</t>
  </si>
  <si>
    <t>IDs únicos</t>
  </si>
  <si>
    <t>Revisar identificadores del arreglo de productos.</t>
  </si>
  <si>
    <t>No debe haber IDs repetidos.</t>
  </si>
  <si>
    <t>IDs únicos.</t>
  </si>
  <si>
    <t>P03</t>
  </si>
  <si>
    <t>Campos completos</t>
  </si>
  <si>
    <t>Revisar nombre, precio, categoría, stock e imagen.</t>
  </si>
  <si>
    <t>Todos los campos requeridos completos.</t>
  </si>
  <si>
    <t>Campos completos.</t>
  </si>
  <si>
    <t>P04</t>
  </si>
  <si>
    <t>Características visibles</t>
  </si>
  <si>
    <t>Abrir detalle o revisar features por producto.</t>
  </si>
  <si>
    <t>Cada producto debe tener características.</t>
  </si>
  <si>
    <t>Características disponibles.</t>
  </si>
  <si>
    <t>features</t>
  </si>
  <si>
    <t>P05</t>
  </si>
  <si>
    <t>Disponibilidad</t>
  </si>
  <si>
    <t>Filtrar o revisar productos sin stock.</t>
  </si>
  <si>
    <t>Debe existir al menos un producto agotado.</t>
  </si>
  <si>
    <t>B020 con stock 0.</t>
  </si>
  <si>
    <t>Stock</t>
  </si>
  <si>
    <t>P06</t>
  </si>
  <si>
    <t>Búsqueda básica</t>
  </si>
  <si>
    <t>Buscar con tilde</t>
  </si>
  <si>
    <t>Buscar sérum.</t>
  </si>
  <si>
    <t>Debe retornar resultados relacionados.</t>
  </si>
  <si>
    <t>Retorna resultados.</t>
  </si>
  <si>
    <t>P07</t>
  </si>
  <si>
    <t>Buscar sin tilde</t>
  </si>
  <si>
    <t>Buscar serum.</t>
  </si>
  <si>
    <t>Debe retornar resultados aunque no tenga tilde.</t>
  </si>
  <si>
    <t>P08</t>
  </si>
  <si>
    <t>Búsqueda avanzada</t>
  </si>
  <si>
    <t>Filtro combinado</t>
  </si>
  <si>
    <t>Aplicar categoría, precio y disponibilidad.</t>
  </si>
  <si>
    <t>Solo productos que cumplan criterios.</t>
  </si>
  <si>
    <t>Retorna resultados válidos.</t>
  </si>
  <si>
    <t>P09</t>
  </si>
  <si>
    <t>Usuario válido</t>
  </si>
  <si>
    <t>Registrar usuario nuevo.</t>
  </si>
  <si>
    <t>Registro exitoso.</t>
  </si>
  <si>
    <t>Crea usuario local.</t>
  </si>
  <si>
    <t>authService.js</t>
  </si>
  <si>
    <t>P10</t>
  </si>
  <si>
    <t>Correo duplicado</t>
  </si>
  <si>
    <t>Registrar dos veces el mismo correo.</t>
  </si>
  <si>
    <t>Debe rechazar duplicado.</t>
  </si>
  <si>
    <t>Rechaza repetidos.</t>
  </si>
  <si>
    <t>P11</t>
  </si>
  <si>
    <t>Inicio de sesión</t>
  </si>
  <si>
    <t>Login correcto</t>
  </si>
  <si>
    <t>Ingresar correo y contraseña válidos.</t>
  </si>
  <si>
    <t>Sesión activa.</t>
  </si>
  <si>
    <t>Inicia sesión local.</t>
  </si>
  <si>
    <t>P12</t>
  </si>
  <si>
    <t>Agregar producto</t>
  </si>
  <si>
    <t>Agregar artículo desde catálogo/detalle.</t>
  </si>
  <si>
    <t>Producto aparece en carrito.</t>
  </si>
  <si>
    <t>Agrega artículo.</t>
  </si>
  <si>
    <t>cartService.js</t>
  </si>
  <si>
    <t>P13</t>
  </si>
  <si>
    <t>Subtotal y total</t>
  </si>
  <si>
    <t>Agregar cantidades y revisar total.</t>
  </si>
  <si>
    <t>Total = precio x cantidad.</t>
  </si>
  <si>
    <t>Calcula total.</t>
  </si>
  <si>
    <t>Carro / compra</t>
  </si>
  <si>
    <t>P14</t>
  </si>
  <si>
    <t>Límite de stock</t>
  </si>
  <si>
    <t>Aumentar cantidad por encima del stock.</t>
  </si>
  <si>
    <t>No debe permitir superar stock.</t>
  </si>
  <si>
    <t>Respeta límite.</t>
  </si>
  <si>
    <t>Compra /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</si>
</sst>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mmmm\ d&quot;, &quot;yyyy"/>
    <numFmt numFmtId="165" formatCode="[$-409]m/d/yyyy"/>
    <numFmt numFmtId="166" formatCode="00"/>
    <numFmt numFmtId="167" formatCode="0.0"/>
    <numFmt numFmtId="168" formatCode="0.0%"/>
    <numFmt numFmtId="169" formatCode="000"/>
    <numFmt numFmtId="170" formatCode="m/d/yy;@"/>
    <numFmt numFmtId="171" formatCode="[$-409]h:mm:ss\ AM/PM"/>
    <numFmt numFmtId="172" formatCode="[$-409]h:mm:ss"/>
    <numFmt numFmtId="173" formatCode="mm/dd/yy"/>
    <numFmt numFmtId="174" formatCode="0.000"/>
    <numFmt numFmtId="175" formatCode="[$-409]#,##0_);\(#,##0\)"/>
    <numFmt numFmtId="176" formatCode="0.00_)"/>
  </numFmts>
  <fonts count="29" x14ac:knownFonts="1">
    <font>
      <sz val="10"/>
      <name val="Arial"/>
    </font>
    <font>
      <sz val="8"/>
      <name val="Arial"/>
    </font>
    <font>
      <sz val="7"/>
      <name val="Small Fonts"/>
    </font>
    <font>
      <b/>
      <i/>
      <sz val="16"/>
      <name val="Arial"/>
    </font>
    <font>
      <sz val="10"/>
      <name val="MS Sans Serif"/>
    </font>
    <font>
      <b/>
      <sz val="14"/>
      <name val="Times New Roman"/>
    </font>
    <font>
      <sz val="14"/>
      <name val="Times New Roman"/>
    </font>
    <font>
      <sz val="14"/>
      <color rgb="FF969696"/>
      <name val="Times New Roman"/>
    </font>
    <font>
      <sz val="10"/>
      <name val="Arial"/>
    </font>
    <font>
      <i/>
      <sz val="8"/>
      <name val="Arial"/>
    </font>
    <font>
      <sz val="10"/>
      <color rgb="FF0000FF"/>
      <name val="Arial"/>
    </font>
    <font>
      <sz val="8"/>
      <name val="Times New Roman"/>
    </font>
    <font>
      <b/>
      <sz val="14"/>
      <name val="Arial"/>
    </font>
    <font>
      <sz val="7"/>
      <name val="Arial"/>
    </font>
    <font>
      <b/>
      <sz val="12"/>
      <name val="Arial"/>
    </font>
    <font>
      <sz val="8"/>
      <color rgb="FF0000FF"/>
      <name val="Arial"/>
    </font>
    <font>
      <sz val="9"/>
      <name val="Arial"/>
    </font>
    <font>
      <b/>
      <sz val="9"/>
      <name val="Arial"/>
    </font>
    <font>
      <sz val="8"/>
      <color rgb="FF969696"/>
      <name val="Arial"/>
    </font>
    <font>
      <b/>
      <sz val="10"/>
      <name val="Arial"/>
    </font>
    <font>
      <b/>
      <sz val="10"/>
      <color rgb="FF969696"/>
      <name val="Arial"/>
    </font>
    <font>
      <b/>
      <sz val="8"/>
      <name val="Arial"/>
    </font>
    <font>
      <sz val="8"/>
      <color rgb="FFFF0000"/>
      <name val="Arial"/>
    </font>
    <font>
      <b/>
      <sz val="9"/>
      <color rgb="FFFF0000"/>
      <name val="Arial"/>
    </font>
    <font>
      <sz val="8"/>
      <color rgb="FFC0C0C0"/>
      <name val="Arial"/>
    </font>
    <font>
      <sz val="8"/>
      <name val="Arial"/>
    </font>
    <font>
      <b/>
      <sz val="16"/>
      <color rgb="FFFFFFFF"/>
      <name val="Calibri"/>
    </font>
    <font>
      <sz val="10"/>
      <name val="Calibri"/>
    </font>
    <font>
      <b/>
      <sz val="10"/>
      <color rgb="FF17365D"/>
      <name val="Calibri"/>
    </font>
  </fonts>
  <fills count="10">
    <fill>
      <patternFill patternType="none"/>
    </fill>
    <fill>
      <patternFill patternType="gray125"/>
    </fill>
    <fill>
      <patternFill patternType="solid">
        <fgColor rgb="FFC0C0C0"/>
      </patternFill>
    </fill>
    <fill>
      <patternFill patternType="solid">
        <fgColor rgb="FFFFFFC0"/>
      </patternFill>
    </fill>
    <fill>
      <patternFill patternType="solid">
        <fgColor rgb="FFFFFF99"/>
      </patternFill>
    </fill>
    <fill>
      <patternFill patternType="solid">
        <fgColor rgb="FFFFFFFF"/>
      </patternFill>
    </fill>
    <fill>
      <patternFill patternType="solid">
        <fgColor rgb="FFE3E3E3"/>
      </patternFill>
    </fill>
    <fill>
      <patternFill patternType="solid">
        <fgColor rgb="FF1F4E78"/>
      </patternFill>
    </fill>
    <fill>
      <patternFill patternType="solid">
        <fgColor rgb="FFD9EAF7"/>
      </patternFill>
    </fill>
    <fill>
      <patternFill patternType="solid">
        <fgColor rgb="FFE2F0D9"/>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hair">
        <color auto="1"/>
      </left>
      <right style="hair">
        <color auto="1"/>
      </right>
      <top style="thin">
        <color auto="1"/>
      </top>
      <bottom style="hair">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right/>
      <top style="medium">
        <color auto="1"/>
      </top>
      <bottom/>
      <diagonal/>
    </border>
    <border>
      <left/>
      <right/>
      <top style="thin">
        <color auto="1"/>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rgb="FFB7C9D6"/>
      </left>
      <right style="thin">
        <color rgb="FFB7C9D6"/>
      </right>
      <top style="thin">
        <color rgb="FFB7C9D6"/>
      </top>
      <bottom style="thin">
        <color rgb="FFB7C9D6"/>
      </bottom>
      <diagonal/>
    </border>
  </borders>
  <cellStyleXfs count="14">
    <xf numFmtId="0" fontId="0" fillId="0" borderId="0"/>
    <xf numFmtId="43" fontId="8" fillId="0" borderId="0"/>
    <xf numFmtId="41" fontId="8" fillId="0" borderId="0"/>
    <xf numFmtId="44" fontId="8" fillId="0" borderId="0"/>
    <xf numFmtId="42" fontId="8" fillId="0" borderId="0"/>
    <xf numFmtId="9" fontId="8" fillId="0" borderId="0"/>
    <xf numFmtId="0" fontId="10" fillId="0" borderId="0"/>
    <xf numFmtId="0" fontId="25" fillId="2" borderId="0"/>
    <xf numFmtId="0" fontId="25" fillId="3" borderId="0"/>
    <xf numFmtId="175" fontId="2" fillId="0" borderId="0"/>
    <xf numFmtId="176" fontId="3" fillId="0" borderId="0"/>
    <xf numFmtId="0" fontId="4" fillId="0" borderId="0"/>
    <xf numFmtId="0" fontId="4" fillId="0" borderId="0"/>
    <xf numFmtId="10" fontId="8" fillId="0" borderId="0"/>
  </cellStyleXfs>
  <cellXfs count="308">
    <xf numFmtId="0" fontId="0" fillId="0" borderId="0" xfId="0"/>
    <xf numFmtId="0" fontId="1" fillId="2" borderId="0" xfId="0" applyFont="1" applyFill="1" applyAlignment="1">
      <alignment horizontal="left"/>
    </xf>
    <xf numFmtId="0" fontId="1" fillId="2" borderId="0" xfId="0" applyFont="1" applyFill="1"/>
    <xf numFmtId="0" fontId="6" fillId="2" borderId="0" xfId="0" applyFont="1" applyFill="1"/>
    <xf numFmtId="0" fontId="7" fillId="2" borderId="0" xfId="0" applyFont="1" applyFill="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8" fillId="2" borderId="5" xfId="0" applyFont="1" applyFill="1" applyBorder="1" applyAlignment="1">
      <alignment horizontal="left"/>
    </xf>
    <xf numFmtId="0" fontId="1" fillId="0" borderId="0" xfId="0" applyFont="1" applyAlignment="1">
      <alignment horizontal="left"/>
    </xf>
    <xf numFmtId="0" fontId="1" fillId="0" borderId="6" xfId="0" applyFont="1" applyBorder="1"/>
    <xf numFmtId="0" fontId="9" fillId="2" borderId="5" xfId="0" applyFont="1" applyFill="1" applyBorder="1" applyAlignment="1">
      <alignment horizontal="left"/>
    </xf>
    <xf numFmtId="0" fontId="10" fillId="0" borderId="5" xfId="6" applyBorder="1" applyAlignment="1">
      <alignment horizontal="left"/>
    </xf>
    <xf numFmtId="0" fontId="1" fillId="0" borderId="0" xfId="0" applyFont="1"/>
    <xf numFmtId="0" fontId="1" fillId="0" borderId="5" xfId="0" applyFont="1" applyBorder="1" applyAlignment="1">
      <alignment horizontal="left"/>
    </xf>
    <xf numFmtId="0" fontId="1" fillId="2" borderId="0" xfId="0" applyFont="1" applyFill="1" applyAlignment="1">
      <alignment horizontal="center"/>
    </xf>
    <xf numFmtId="0" fontId="1" fillId="2" borderId="6" xfId="0" applyFont="1" applyFill="1" applyBorder="1"/>
    <xf numFmtId="0" fontId="1" fillId="0" borderId="5" xfId="0" applyFont="1" applyBorder="1"/>
    <xf numFmtId="0" fontId="11" fillId="2" borderId="0" xfId="0" applyFont="1" applyFill="1"/>
    <xf numFmtId="0" fontId="1" fillId="2" borderId="2" xfId="0" applyFont="1" applyFill="1" applyBorder="1" applyAlignment="1">
      <alignment horizontal="left"/>
    </xf>
    <xf numFmtId="0" fontId="1" fillId="2" borderId="3" xfId="0" applyFont="1" applyFill="1" applyBorder="1"/>
    <xf numFmtId="0" fontId="1" fillId="2" borderId="3" xfId="0" applyFont="1" applyFill="1" applyBorder="1" applyAlignment="1">
      <alignment horizontal="left"/>
    </xf>
    <xf numFmtId="0" fontId="1" fillId="2" borderId="4" xfId="0" applyFont="1" applyFill="1" applyBorder="1"/>
    <xf numFmtId="0" fontId="1" fillId="0" borderId="0" xfId="0" applyFont="1" applyAlignment="1">
      <alignment vertical="top" wrapText="1"/>
    </xf>
    <xf numFmtId="0" fontId="1" fillId="0" borderId="0" xfId="0" applyFont="1" applyAlignment="1">
      <alignment horizontal="left" vertical="top" wrapText="1"/>
    </xf>
    <xf numFmtId="0" fontId="13" fillId="2" borderId="0" xfId="0" applyFont="1" applyFill="1" applyAlignment="1">
      <alignment horizontal="right" vertical="top" wrapText="1"/>
    </xf>
    <xf numFmtId="0" fontId="1" fillId="2" borderId="0" xfId="0" applyFont="1" applyFill="1" applyAlignment="1">
      <alignment horizontal="center" vertical="top" wrapText="1"/>
    </xf>
    <xf numFmtId="0" fontId="15" fillId="0" borderId="0" xfId="6" applyFont="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0" fontId="1" fillId="0" borderId="0" xfId="6" applyFont="1" applyAlignment="1">
      <alignment vertical="top" wrapText="1"/>
    </xf>
    <xf numFmtId="0" fontId="10" fillId="0" borderId="0" xfId="6" applyAlignment="1">
      <alignment vertical="top" wrapText="1"/>
    </xf>
    <xf numFmtId="0" fontId="0" fillId="2" borderId="0" xfId="0" applyFill="1" applyAlignment="1">
      <alignment vertical="top" wrapText="1"/>
    </xf>
    <xf numFmtId="0" fontId="0" fillId="2" borderId="0" xfId="0" applyFill="1"/>
    <xf numFmtId="0" fontId="16" fillId="2" borderId="7" xfId="0" applyFont="1" applyFill="1" applyBorder="1" applyAlignment="1">
      <alignment vertical="top" wrapText="1"/>
    </xf>
    <xf numFmtId="0" fontId="16" fillId="2" borderId="1" xfId="0" applyFont="1" applyFill="1" applyBorder="1" applyAlignment="1">
      <alignment vertical="top" wrapText="1"/>
    </xf>
    <xf numFmtId="0" fontId="16" fillId="2" borderId="8" xfId="0" applyFont="1" applyFill="1" applyBorder="1" applyAlignment="1">
      <alignment vertical="top" wrapText="1"/>
    </xf>
    <xf numFmtId="0" fontId="16" fillId="2" borderId="9" xfId="0" applyFont="1" applyFill="1" applyBorder="1" applyAlignment="1">
      <alignment vertical="top" wrapText="1"/>
    </xf>
    <xf numFmtId="0" fontId="16" fillId="2" borderId="0" xfId="0" applyFont="1" applyFill="1"/>
    <xf numFmtId="0" fontId="16" fillId="2" borderId="0" xfId="0" applyFont="1" applyFill="1" applyAlignment="1">
      <alignment horizontal="left"/>
    </xf>
    <xf numFmtId="0" fontId="17" fillId="2" borderId="7" xfId="0" applyFont="1" applyFill="1" applyBorder="1"/>
    <xf numFmtId="0" fontId="17" fillId="2" borderId="7" xfId="0" applyFont="1" applyFill="1" applyBorder="1" applyAlignment="1">
      <alignment horizontal="left"/>
    </xf>
    <xf numFmtId="0" fontId="16" fillId="2" borderId="1" xfId="0" applyFont="1" applyFill="1" applyBorder="1"/>
    <xf numFmtId="0" fontId="16" fillId="2" borderId="1" xfId="0" applyFont="1" applyFill="1" applyBorder="1" applyAlignment="1">
      <alignment horizontal="left"/>
    </xf>
    <xf numFmtId="0" fontId="16" fillId="2" borderId="8" xfId="0" applyFont="1" applyFill="1" applyBorder="1"/>
    <xf numFmtId="0" fontId="16" fillId="2" borderId="8" xfId="0" applyFont="1" applyFill="1" applyBorder="1" applyAlignment="1">
      <alignment horizontal="left"/>
    </xf>
    <xf numFmtId="0" fontId="16" fillId="2" borderId="9" xfId="0" applyFont="1" applyFill="1" applyBorder="1"/>
    <xf numFmtId="0" fontId="16" fillId="2" borderId="9" xfId="0" applyFont="1" applyFill="1" applyBorder="1" applyAlignment="1">
      <alignment horizontal="left"/>
    </xf>
    <xf numFmtId="0" fontId="18" fillId="2" borderId="0" xfId="0" applyFont="1" applyFill="1"/>
    <xf numFmtId="0" fontId="19" fillId="2" borderId="0" xfId="0" applyFont="1" applyFill="1" applyAlignment="1">
      <alignment horizontal="right"/>
    </xf>
    <xf numFmtId="0" fontId="19" fillId="2" borderId="0" xfId="0" applyFont="1" applyFill="1"/>
    <xf numFmtId="0" fontId="20" fillId="2" borderId="0" xfId="0" applyFont="1" applyFill="1"/>
    <xf numFmtId="0" fontId="8" fillId="2" borderId="0" xfId="0" applyFont="1" applyFill="1"/>
    <xf numFmtId="0" fontId="13" fillId="2" borderId="0" xfId="0" applyFont="1" applyFill="1"/>
    <xf numFmtId="0" fontId="21" fillId="2" borderId="0" xfId="0" applyFont="1" applyFill="1" applyAlignment="1">
      <alignment horizontal="right"/>
    </xf>
    <xf numFmtId="0" fontId="1" fillId="0" borderId="3" xfId="0" applyFont="1" applyBorder="1" applyAlignment="1">
      <alignment horizontal="left"/>
    </xf>
    <xf numFmtId="0" fontId="1" fillId="2" borderId="0" xfId="0" applyFont="1" applyFill="1" applyAlignment="1">
      <alignment horizontal="right"/>
    </xf>
    <xf numFmtId="164" fontId="1" fillId="0" borderId="3" xfId="0" applyNumberFormat="1" applyFont="1" applyBorder="1" applyAlignment="1">
      <alignment horizontal="left"/>
    </xf>
    <xf numFmtId="0" fontId="16" fillId="2" borderId="0" xfId="0" applyFont="1" applyFill="1" applyAlignment="1">
      <alignment horizontal="right"/>
    </xf>
    <xf numFmtId="0" fontId="16" fillId="0" borderId="0" xfId="0" applyFont="1"/>
    <xf numFmtId="0" fontId="1" fillId="2" borderId="0" xfId="0" applyFont="1" applyFill="1" applyAlignment="1">
      <alignment horizontal="right" vertical="center"/>
    </xf>
    <xf numFmtId="0" fontId="1" fillId="2" borderId="0" xfId="0" applyFont="1" applyFill="1" applyAlignment="1">
      <alignment vertical="center" wrapText="1"/>
    </xf>
    <xf numFmtId="0" fontId="21" fillId="2" borderId="0" xfId="0" applyFont="1" applyFill="1" applyAlignment="1">
      <alignment horizontal="right" wrapText="1"/>
    </xf>
    <xf numFmtId="165" fontId="1" fillId="5" borderId="10" xfId="0" applyNumberFormat="1" applyFont="1" applyFill="1" applyBorder="1"/>
    <xf numFmtId="0" fontId="21" fillId="2" borderId="0" xfId="0" applyFont="1" applyFill="1"/>
    <xf numFmtId="0" fontId="1" fillId="2" borderId="7" xfId="0" applyFont="1" applyFill="1" applyBorder="1" applyAlignment="1">
      <alignment horizontal="center"/>
    </xf>
    <xf numFmtId="0" fontId="1" fillId="2" borderId="7" xfId="0" applyFont="1" applyFill="1" applyBorder="1" applyAlignment="1">
      <alignment horizontal="center" wrapText="1"/>
    </xf>
    <xf numFmtId="166" fontId="1" fillId="2" borderId="0" xfId="0" applyNumberFormat="1" applyFont="1" applyFill="1" applyAlignment="1">
      <alignment horizontal="center"/>
    </xf>
    <xf numFmtId="0" fontId="1" fillId="4" borderId="11" xfId="0" applyFont="1" applyFill="1" applyBorder="1"/>
    <xf numFmtId="0" fontId="1" fillId="2" borderId="1" xfId="0" applyFont="1" applyFill="1" applyBorder="1" applyAlignment="1">
      <alignment wrapText="1"/>
    </xf>
    <xf numFmtId="0" fontId="1" fillId="2" borderId="12" xfId="0" applyFont="1" applyFill="1" applyBorder="1" applyAlignment="1">
      <alignment wrapText="1"/>
    </xf>
    <xf numFmtId="0" fontId="1" fillId="2" borderId="13" xfId="0" applyFont="1" applyFill="1" applyBorder="1" applyAlignment="1">
      <alignment horizontal="center" wrapText="1"/>
    </xf>
    <xf numFmtId="0" fontId="1" fillId="2" borderId="9" xfId="0" applyFont="1" applyFill="1" applyBorder="1" applyAlignment="1">
      <alignment horizontal="center" wrapText="1"/>
    </xf>
    <xf numFmtId="0" fontId="1" fillId="2" borderId="4" xfId="0" applyFont="1" applyFill="1" applyBorder="1" applyAlignment="1">
      <alignment horizontal="center" wrapText="1"/>
    </xf>
    <xf numFmtId="0" fontId="1" fillId="2" borderId="14" xfId="0" applyFont="1" applyFill="1" applyBorder="1" applyAlignment="1">
      <alignment horizontal="center" wrapText="1"/>
    </xf>
    <xf numFmtId="0" fontId="1" fillId="2" borderId="15" xfId="0" applyFont="1" applyFill="1" applyBorder="1" applyAlignment="1">
      <alignment horizontal="center" wrapText="1"/>
    </xf>
    <xf numFmtId="0" fontId="1" fillId="2" borderId="16" xfId="0" applyFont="1" applyFill="1" applyBorder="1" applyAlignment="1">
      <alignment horizontal="center" wrapText="1"/>
    </xf>
    <xf numFmtId="0" fontId="1" fillId="2" borderId="17" xfId="0" applyFont="1" applyFill="1" applyBorder="1"/>
    <xf numFmtId="0" fontId="1" fillId="0" borderId="15" xfId="0" applyFont="1" applyBorder="1"/>
    <xf numFmtId="0" fontId="1" fillId="0" borderId="4" xfId="0" applyFont="1" applyBorder="1"/>
    <xf numFmtId="0" fontId="1" fillId="2" borderId="14" xfId="0" applyFont="1" applyFill="1" applyBorder="1"/>
    <xf numFmtId="0" fontId="1" fillId="0" borderId="17" xfId="0" applyFont="1" applyBorder="1"/>
    <xf numFmtId="0" fontId="1" fillId="0" borderId="14" xfId="0" applyFont="1" applyBorder="1"/>
    <xf numFmtId="0" fontId="1" fillId="0" borderId="9" xfId="0" applyFont="1" applyBorder="1"/>
    <xf numFmtId="0" fontId="1" fillId="0" borderId="16" xfId="0" applyFont="1" applyBorder="1"/>
    <xf numFmtId="0" fontId="1" fillId="2" borderId="5" xfId="0" applyFont="1" applyFill="1" applyBorder="1"/>
    <xf numFmtId="0" fontId="1" fillId="2" borderId="18" xfId="0" applyFont="1" applyFill="1" applyBorder="1"/>
    <xf numFmtId="0" fontId="14" fillId="2" borderId="0" xfId="0" applyFont="1" applyFill="1" applyAlignment="1">
      <alignment horizontal="left"/>
    </xf>
    <xf numFmtId="0" fontId="17" fillId="2" borderId="0" xfId="0" applyFont="1" applyFill="1" applyAlignment="1">
      <alignment horizontal="right"/>
    </xf>
    <xf numFmtId="0" fontId="16" fillId="4" borderId="3" xfId="0" applyFont="1" applyFill="1" applyBorder="1" applyAlignment="1">
      <alignment horizontal="left"/>
    </xf>
    <xf numFmtId="0" fontId="16" fillId="4" borderId="3" xfId="0" applyFont="1" applyFill="1" applyBorder="1"/>
    <xf numFmtId="0" fontId="17" fillId="2" borderId="0" xfId="0" applyFont="1" applyFill="1"/>
    <xf numFmtId="0" fontId="17" fillId="2" borderId="0" xfId="0" applyFont="1" applyFill="1" applyAlignment="1">
      <alignment horizontal="center"/>
    </xf>
    <xf numFmtId="167" fontId="16" fillId="4" borderId="3" xfId="0" applyNumberFormat="1" applyFont="1" applyFill="1" applyBorder="1"/>
    <xf numFmtId="168" fontId="16" fillId="4" borderId="3" xfId="0" applyNumberFormat="1" applyFont="1" applyFill="1" applyBorder="1"/>
    <xf numFmtId="0" fontId="16" fillId="2" borderId="3" xfId="0" applyFont="1" applyFill="1" applyBorder="1"/>
    <xf numFmtId="1" fontId="16" fillId="4" borderId="3" xfId="0" applyNumberFormat="1" applyFont="1" applyFill="1" applyBorder="1"/>
    <xf numFmtId="1" fontId="0" fillId="2" borderId="0" xfId="0" applyNumberFormat="1" applyFill="1"/>
    <xf numFmtId="0" fontId="14" fillId="2" borderId="0" xfId="0" applyFont="1" applyFill="1"/>
    <xf numFmtId="0" fontId="16" fillId="4" borderId="10" xfId="0" applyFont="1" applyFill="1" applyBorder="1" applyAlignment="1">
      <alignment horizontal="left"/>
    </xf>
    <xf numFmtId="2" fontId="16" fillId="4" borderId="3" xfId="0" applyNumberFormat="1" applyFont="1" applyFill="1" applyBorder="1"/>
    <xf numFmtId="0" fontId="21" fillId="6" borderId="20" xfId="0" applyFont="1" applyFill="1" applyBorder="1"/>
    <xf numFmtId="0" fontId="1" fillId="6" borderId="19" xfId="0" applyFont="1" applyFill="1" applyBorder="1"/>
    <xf numFmtId="0" fontId="1" fillId="6" borderId="12" xfId="0" applyFont="1" applyFill="1" applyBorder="1"/>
    <xf numFmtId="9" fontId="16" fillId="0" borderId="3" xfId="0" applyNumberFormat="1" applyFont="1" applyBorder="1"/>
    <xf numFmtId="9" fontId="16" fillId="4" borderId="3" xfId="0" applyNumberFormat="1" applyFont="1" applyFill="1" applyBorder="1"/>
    <xf numFmtId="0" fontId="1" fillId="6" borderId="20" xfId="0" applyFont="1" applyFill="1" applyBorder="1" applyAlignment="1">
      <alignment horizontal="left"/>
    </xf>
    <xf numFmtId="9" fontId="1" fillId="6" borderId="1" xfId="0" applyNumberFormat="1" applyFont="1" applyFill="1" applyBorder="1"/>
    <xf numFmtId="0" fontId="1" fillId="6" borderId="5" xfId="0" applyFont="1" applyFill="1" applyBorder="1" applyAlignment="1">
      <alignment horizontal="left"/>
    </xf>
    <xf numFmtId="9" fontId="1" fillId="6" borderId="8" xfId="0" applyNumberFormat="1" applyFont="1" applyFill="1" applyBorder="1"/>
    <xf numFmtId="0" fontId="1" fillId="6" borderId="6" xfId="0" applyFont="1" applyFill="1" applyBorder="1"/>
    <xf numFmtId="9" fontId="1" fillId="6" borderId="8" xfId="0" applyNumberFormat="1" applyFont="1" applyFill="1" applyBorder="1" applyAlignment="1">
      <alignment horizontal="right"/>
    </xf>
    <xf numFmtId="0" fontId="1" fillId="6" borderId="2" xfId="0" applyFont="1" applyFill="1" applyBorder="1" applyAlignment="1">
      <alignment horizontal="left"/>
    </xf>
    <xf numFmtId="9" fontId="1" fillId="6" borderId="9" xfId="0" applyNumberFormat="1" applyFont="1" applyFill="1" applyBorder="1" applyAlignment="1">
      <alignment horizontal="right"/>
    </xf>
    <xf numFmtId="0" fontId="1" fillId="6" borderId="4" xfId="0" applyFont="1" applyFill="1" applyBorder="1"/>
    <xf numFmtId="0" fontId="16" fillId="0" borderId="3" xfId="0" applyFont="1" applyBorder="1"/>
    <xf numFmtId="0" fontId="1" fillId="6" borderId="1" xfId="0" applyFont="1" applyFill="1" applyBorder="1"/>
    <xf numFmtId="0" fontId="1" fillId="6" borderId="8" xfId="0" applyFont="1" applyFill="1" applyBorder="1"/>
    <xf numFmtId="0" fontId="1" fillId="6" borderId="9" xfId="0" applyFont="1" applyFill="1" applyBorder="1"/>
    <xf numFmtId="0" fontId="1" fillId="4" borderId="0" xfId="0" applyFont="1" applyFill="1"/>
    <xf numFmtId="169" fontId="1" fillId="0" borderId="0" xfId="0" applyNumberFormat="1" applyFont="1" applyAlignment="1">
      <alignment horizontal="center"/>
    </xf>
    <xf numFmtId="169" fontId="1" fillId="0" borderId="0" xfId="0" applyNumberFormat="1" applyFont="1"/>
    <xf numFmtId="170" fontId="1" fillId="4" borderId="0" xfId="0" applyNumberFormat="1" applyFont="1" applyFill="1"/>
    <xf numFmtId="0" fontId="1" fillId="6" borderId="0" xfId="0" applyFont="1" applyFill="1"/>
    <xf numFmtId="169" fontId="14" fillId="6" borderId="0" xfId="0" applyNumberFormat="1" applyFont="1" applyFill="1" applyAlignment="1">
      <alignment horizontal="left"/>
    </xf>
    <xf numFmtId="169" fontId="19" fillId="6" borderId="0" xfId="0" applyNumberFormat="1" applyFont="1" applyFill="1" applyAlignment="1">
      <alignment horizontal="center"/>
    </xf>
    <xf numFmtId="169" fontId="19" fillId="6" borderId="0" xfId="0" applyNumberFormat="1" applyFont="1" applyFill="1" applyAlignment="1">
      <alignment horizontal="right"/>
    </xf>
    <xf numFmtId="170" fontId="19" fillId="6" borderId="0" xfId="0" applyNumberFormat="1" applyFont="1" applyFill="1"/>
    <xf numFmtId="169" fontId="17" fillId="6" borderId="0" xfId="0" applyNumberFormat="1" applyFont="1" applyFill="1" applyAlignment="1">
      <alignment horizontal="right"/>
    </xf>
    <xf numFmtId="170" fontId="17" fillId="6" borderId="0" xfId="0" applyNumberFormat="1" applyFont="1" applyFill="1"/>
    <xf numFmtId="0" fontId="17" fillId="6" borderId="0" xfId="0" applyFont="1" applyFill="1"/>
    <xf numFmtId="0" fontId="1" fillId="6" borderId="7" xfId="0" applyFont="1" applyFill="1" applyBorder="1" applyAlignment="1">
      <alignment horizontal="center" wrapText="1"/>
    </xf>
    <xf numFmtId="0" fontId="1" fillId="6" borderId="7" xfId="0" applyFont="1" applyFill="1" applyBorder="1" applyAlignment="1">
      <alignment horizontal="center" vertical="center" wrapText="1"/>
    </xf>
    <xf numFmtId="169" fontId="1" fillId="6" borderId="7" xfId="0" applyNumberFormat="1" applyFont="1" applyFill="1" applyBorder="1" applyAlignment="1">
      <alignment horizontal="center" wrapText="1"/>
    </xf>
    <xf numFmtId="170" fontId="1" fillId="6" borderId="7" xfId="0" applyNumberFormat="1" applyFont="1" applyFill="1" applyBorder="1" applyAlignment="1">
      <alignment horizontal="center" wrapText="1"/>
    </xf>
    <xf numFmtId="0" fontId="1" fillId="0" borderId="21" xfId="0" applyFont="1" applyBorder="1"/>
    <xf numFmtId="0" fontId="1" fillId="0" borderId="22" xfId="0" applyFont="1" applyBorder="1"/>
    <xf numFmtId="0" fontId="1" fillId="0" borderId="23" xfId="0" applyFont="1" applyBorder="1"/>
    <xf numFmtId="0" fontId="1" fillId="0" borderId="24" xfId="0" applyFont="1" applyBorder="1"/>
    <xf numFmtId="0" fontId="1" fillId="0" borderId="25" xfId="0" applyFont="1" applyBorder="1"/>
    <xf numFmtId="0" fontId="1" fillId="0" borderId="26" xfId="0" applyFont="1" applyBorder="1"/>
    <xf numFmtId="165" fontId="0" fillId="0" borderId="0" xfId="0" applyNumberFormat="1"/>
    <xf numFmtId="167" fontId="1" fillId="0" borderId="0" xfId="0" applyNumberFormat="1" applyFont="1"/>
    <xf numFmtId="167" fontId="1" fillId="4" borderId="0" xfId="0" applyNumberFormat="1" applyFont="1" applyFill="1"/>
    <xf numFmtId="165" fontId="1" fillId="4" borderId="0" xfId="0" applyNumberFormat="1" applyFont="1" applyFill="1"/>
    <xf numFmtId="1" fontId="1" fillId="4" borderId="0" xfId="0" applyNumberFormat="1" applyFont="1" applyFill="1"/>
    <xf numFmtId="165" fontId="1" fillId="0" borderId="0" xfId="0" applyNumberFormat="1" applyFont="1"/>
    <xf numFmtId="1" fontId="1" fillId="2" borderId="0" xfId="0" applyNumberFormat="1" applyFont="1" applyFill="1"/>
    <xf numFmtId="167" fontId="1" fillId="2" borderId="0" xfId="0" applyNumberFormat="1" applyFont="1" applyFill="1" applyAlignment="1">
      <alignment horizontal="left"/>
    </xf>
    <xf numFmtId="167" fontId="11" fillId="2" borderId="0" xfId="0" applyNumberFormat="1" applyFont="1" applyFill="1"/>
    <xf numFmtId="167" fontId="1" fillId="2" borderId="0" xfId="0" applyNumberFormat="1" applyFont="1" applyFill="1" applyAlignment="1">
      <alignment horizontal="center"/>
    </xf>
    <xf numFmtId="165" fontId="1" fillId="2" borderId="0" xfId="0" applyNumberFormat="1" applyFont="1" applyFill="1" applyAlignment="1">
      <alignment horizontal="center"/>
    </xf>
    <xf numFmtId="1" fontId="1" fillId="2" borderId="0" xfId="0" applyNumberFormat="1" applyFont="1" applyFill="1" applyAlignment="1">
      <alignment horizontal="center"/>
    </xf>
    <xf numFmtId="165" fontId="1" fillId="2" borderId="0" xfId="0" applyNumberFormat="1" applyFont="1" applyFill="1" applyAlignment="1">
      <alignment horizontal="left"/>
    </xf>
    <xf numFmtId="0" fontId="1" fillId="4" borderId="3" xfId="0" applyFont="1" applyFill="1" applyBorder="1" applyAlignment="1">
      <alignment horizontal="left"/>
    </xf>
    <xf numFmtId="0" fontId="1" fillId="4" borderId="3" xfId="0" applyFont="1" applyFill="1" applyBorder="1"/>
    <xf numFmtId="167" fontId="1" fillId="4" borderId="3" xfId="0" applyNumberFormat="1" applyFont="1" applyFill="1" applyBorder="1"/>
    <xf numFmtId="167" fontId="1" fillId="2" borderId="0" xfId="0" applyNumberFormat="1" applyFont="1" applyFill="1"/>
    <xf numFmtId="165" fontId="1" fillId="2" borderId="0" xfId="0" applyNumberFormat="1" applyFont="1" applyFill="1"/>
    <xf numFmtId="0" fontId="22" fillId="2" borderId="0" xfId="0" applyFont="1" applyFill="1" applyAlignment="1">
      <alignment horizontal="left"/>
    </xf>
    <xf numFmtId="167" fontId="1" fillId="2" borderId="0" xfId="0" applyNumberFormat="1" applyFont="1" applyFill="1" applyAlignment="1">
      <alignment horizontal="center" wrapText="1"/>
    </xf>
    <xf numFmtId="165" fontId="1" fillId="4" borderId="3" xfId="0" applyNumberFormat="1" applyFont="1" applyFill="1" applyBorder="1" applyAlignment="1">
      <alignment horizontal="left"/>
    </xf>
    <xf numFmtId="0" fontId="1" fillId="2" borderId="7" xfId="0" applyFont="1" applyFill="1" applyBorder="1" applyAlignment="1">
      <alignment horizontal="left" wrapText="1"/>
    </xf>
    <xf numFmtId="167" fontId="1" fillId="2" borderId="7" xfId="0" applyNumberFormat="1" applyFont="1" applyFill="1" applyBorder="1" applyAlignment="1">
      <alignment horizontal="center" wrapText="1"/>
    </xf>
    <xf numFmtId="165" fontId="1" fillId="2" borderId="7" xfId="0" applyNumberFormat="1" applyFont="1" applyFill="1" applyBorder="1" applyAlignment="1">
      <alignment horizontal="center" wrapText="1"/>
    </xf>
    <xf numFmtId="1" fontId="1" fillId="2" borderId="7" xfId="0" applyNumberFormat="1" applyFont="1" applyFill="1" applyBorder="1" applyAlignment="1">
      <alignment horizontal="center" wrapText="1"/>
    </xf>
    <xf numFmtId="0" fontId="1" fillId="2" borderId="7" xfId="0" applyFont="1" applyFill="1" applyBorder="1" applyAlignment="1">
      <alignment horizontal="left" vertical="center"/>
    </xf>
    <xf numFmtId="0" fontId="1" fillId="0" borderId="0" xfId="0" applyFont="1" applyAlignment="1">
      <alignment wrapText="1"/>
    </xf>
    <xf numFmtId="165" fontId="14" fillId="2" borderId="0" xfId="0" applyNumberFormat="1" applyFont="1" applyFill="1"/>
    <xf numFmtId="167" fontId="1" fillId="2" borderId="0" xfId="0" applyNumberFormat="1" applyFont="1" applyFill="1" applyAlignment="1">
      <alignment horizontal="right" wrapText="1"/>
    </xf>
    <xf numFmtId="167" fontId="1" fillId="4" borderId="3" xfId="0" applyNumberFormat="1" applyFont="1" applyFill="1" applyBorder="1" applyAlignment="1">
      <alignment horizontal="left"/>
    </xf>
    <xf numFmtId="167" fontId="1" fillId="4" borderId="3" xfId="0" applyNumberFormat="1" applyFont="1" applyFill="1" applyBorder="1" applyAlignment="1">
      <alignment horizontal="center"/>
    </xf>
    <xf numFmtId="171" fontId="1" fillId="2" borderId="0" xfId="0" applyNumberFormat="1" applyFont="1" applyFill="1" applyAlignment="1">
      <alignment horizontal="center"/>
    </xf>
    <xf numFmtId="167" fontId="1" fillId="2" borderId="0" xfId="0" applyNumberFormat="1" applyFont="1" applyFill="1" applyAlignment="1">
      <alignment horizontal="right"/>
    </xf>
    <xf numFmtId="167" fontId="1" fillId="4" borderId="27" xfId="0" applyNumberFormat="1" applyFont="1" applyFill="1" applyBorder="1"/>
    <xf numFmtId="167" fontId="23" fillId="2" borderId="0" xfId="0" applyNumberFormat="1" applyFont="1" applyFill="1"/>
    <xf numFmtId="171" fontId="24" fillId="2" borderId="0" xfId="0" applyNumberFormat="1" applyFont="1" applyFill="1" applyAlignment="1">
      <alignment horizontal="center"/>
    </xf>
    <xf numFmtId="165" fontId="1" fillId="2" borderId="7" xfId="0" applyNumberFormat="1" applyFont="1" applyFill="1" applyBorder="1" applyAlignment="1">
      <alignment horizontal="center"/>
    </xf>
    <xf numFmtId="167" fontId="1" fillId="2" borderId="7" xfId="0" applyNumberFormat="1" applyFont="1" applyFill="1" applyBorder="1" applyAlignment="1">
      <alignment horizontal="center"/>
    </xf>
    <xf numFmtId="0" fontId="0" fillId="2" borderId="0" xfId="0" applyFill="1" applyAlignment="1">
      <alignment horizontal="center"/>
    </xf>
    <xf numFmtId="0" fontId="1" fillId="0" borderId="0" xfId="12" applyFont="1"/>
    <xf numFmtId="170" fontId="1" fillId="0" borderId="0" xfId="12" applyNumberFormat="1" applyFont="1"/>
    <xf numFmtId="172" fontId="1" fillId="0" borderId="0" xfId="12" applyNumberFormat="1" applyFont="1"/>
    <xf numFmtId="167" fontId="1" fillId="0" borderId="0" xfId="12" applyNumberFormat="1" applyFont="1"/>
    <xf numFmtId="167" fontId="1" fillId="4" borderId="0" xfId="12" applyNumberFormat="1" applyFont="1" applyFill="1"/>
    <xf numFmtId="0" fontId="1" fillId="2" borderId="0" xfId="12" applyFont="1" applyFill="1"/>
    <xf numFmtId="170" fontId="14" fillId="2" borderId="0" xfId="0" applyNumberFormat="1" applyFont="1" applyFill="1" applyAlignment="1">
      <alignment horizontal="left"/>
    </xf>
    <xf numFmtId="167" fontId="14" fillId="2" borderId="0" xfId="0" applyNumberFormat="1" applyFont="1" applyFill="1" applyAlignment="1">
      <alignment horizontal="left"/>
    </xf>
    <xf numFmtId="173" fontId="16" fillId="2" borderId="0" xfId="0" applyNumberFormat="1" applyFont="1" applyFill="1" applyAlignment="1">
      <alignment horizontal="left"/>
    </xf>
    <xf numFmtId="170" fontId="16" fillId="2" borderId="0" xfId="0" applyNumberFormat="1" applyFont="1" applyFill="1" applyAlignment="1">
      <alignment horizontal="left"/>
    </xf>
    <xf numFmtId="170" fontId="16" fillId="2" borderId="0" xfId="0" applyNumberFormat="1" applyFont="1" applyFill="1"/>
    <xf numFmtId="0" fontId="1" fillId="2" borderId="7" xfId="12" applyFont="1" applyFill="1" applyBorder="1" applyAlignment="1">
      <alignment horizontal="center" wrapText="1"/>
    </xf>
    <xf numFmtId="170" fontId="1" fillId="2" borderId="7" xfId="12" applyNumberFormat="1" applyFont="1" applyFill="1" applyBorder="1" applyAlignment="1">
      <alignment horizontal="center" wrapText="1"/>
    </xf>
    <xf numFmtId="172" fontId="1" fillId="2" borderId="7" xfId="12" applyNumberFormat="1" applyFont="1" applyFill="1" applyBorder="1" applyAlignment="1">
      <alignment horizontal="center" wrapText="1"/>
    </xf>
    <xf numFmtId="167" fontId="1" fillId="2" borderId="7" xfId="12" applyNumberFormat="1" applyFont="1" applyFill="1" applyBorder="1" applyAlignment="1">
      <alignment horizontal="center" wrapText="1"/>
    </xf>
    <xf numFmtId="172" fontId="1" fillId="0" borderId="0" xfId="0" applyNumberFormat="1" applyFont="1"/>
    <xf numFmtId="0" fontId="1" fillId="0" borderId="0" xfId="11" applyFont="1"/>
    <xf numFmtId="170" fontId="1" fillId="0" borderId="0" xfId="11" applyNumberFormat="1" applyFont="1"/>
    <xf numFmtId="172" fontId="1" fillId="0" borderId="0" xfId="11" applyNumberFormat="1" applyFont="1"/>
    <xf numFmtId="167" fontId="1" fillId="0" borderId="0" xfId="11" applyNumberFormat="1" applyFont="1"/>
    <xf numFmtId="2" fontId="1" fillId="0" borderId="0" xfId="0" applyNumberFormat="1" applyFont="1"/>
    <xf numFmtId="173" fontId="1" fillId="0" borderId="0" xfId="11" applyNumberFormat="1" applyFont="1"/>
    <xf numFmtId="0" fontId="1" fillId="0" borderId="0" xfId="12" applyFont="1" applyAlignment="1">
      <alignment wrapText="1"/>
    </xf>
    <xf numFmtId="167" fontId="1" fillId="0" borderId="0" xfId="12" applyNumberFormat="1" applyFont="1" applyAlignment="1">
      <alignment wrapText="1"/>
    </xf>
    <xf numFmtId="173" fontId="1" fillId="0" borderId="0" xfId="12" applyNumberFormat="1" applyFont="1"/>
    <xf numFmtId="165" fontId="1" fillId="0" borderId="0" xfId="12" applyNumberFormat="1" applyFont="1"/>
    <xf numFmtId="165" fontId="1" fillId="2" borderId="7" xfId="12" applyNumberFormat="1" applyFont="1" applyFill="1" applyBorder="1" applyAlignment="1">
      <alignment horizontal="center" wrapText="1"/>
    </xf>
    <xf numFmtId="165" fontId="1" fillId="0" borderId="0" xfId="11" applyNumberFormat="1" applyFont="1"/>
    <xf numFmtId="0" fontId="16" fillId="4" borderId="10" xfId="0" applyFont="1" applyFill="1" applyBorder="1"/>
    <xf numFmtId="167" fontId="16" fillId="4" borderId="10" xfId="0" applyNumberFormat="1" applyFont="1" applyFill="1" applyBorder="1"/>
    <xf numFmtId="170" fontId="16" fillId="4" borderId="10" xfId="0" applyNumberFormat="1" applyFont="1" applyFill="1" applyBorder="1"/>
    <xf numFmtId="167" fontId="16" fillId="2" borderId="0" xfId="0" applyNumberFormat="1" applyFont="1" applyFill="1"/>
    <xf numFmtId="167" fontId="17" fillId="2" borderId="0" xfId="0" applyNumberFormat="1" applyFont="1" applyFill="1" applyAlignment="1">
      <alignment horizontal="right"/>
    </xf>
    <xf numFmtId="170" fontId="16" fillId="4" borderId="3" xfId="0" applyNumberFormat="1" applyFont="1" applyFill="1" applyBorder="1" applyAlignment="1">
      <alignment horizontal="left"/>
    </xf>
    <xf numFmtId="0" fontId="16" fillId="4" borderId="3" xfId="0" applyFont="1" applyFill="1" applyBorder="1" applyAlignment="1">
      <alignment horizontal="right"/>
    </xf>
    <xf numFmtId="167" fontId="8" fillId="2" borderId="0" xfId="0" applyNumberFormat="1" applyFont="1" applyFill="1"/>
    <xf numFmtId="0" fontId="8" fillId="2" borderId="0" xfId="0" applyFont="1" applyFill="1" applyAlignment="1">
      <alignment horizontal="right"/>
    </xf>
    <xf numFmtId="167" fontId="17" fillId="2" borderId="0" xfId="0" applyNumberFormat="1" applyFont="1" applyFill="1" applyAlignment="1">
      <alignment horizontal="center"/>
    </xf>
    <xf numFmtId="170" fontId="17" fillId="2" borderId="0" xfId="0" applyNumberFormat="1" applyFont="1" applyFill="1" applyAlignment="1">
      <alignment horizontal="center"/>
    </xf>
    <xf numFmtId="167" fontId="17" fillId="2" borderId="0" xfId="0" applyNumberFormat="1" applyFont="1" applyFill="1" applyAlignment="1">
      <alignment horizontal="center" wrapText="1"/>
    </xf>
    <xf numFmtId="170" fontId="16" fillId="4" borderId="3" xfId="0" applyNumberFormat="1" applyFont="1" applyFill="1" applyBorder="1"/>
    <xf numFmtId="2" fontId="16" fillId="4" borderId="10" xfId="0" applyNumberFormat="1" applyFont="1" applyFill="1" applyBorder="1"/>
    <xf numFmtId="174" fontId="16" fillId="4" borderId="10" xfId="0" applyNumberFormat="1" applyFont="1" applyFill="1" applyBorder="1"/>
    <xf numFmtId="0" fontId="17" fillId="2" borderId="0" xfId="0" applyFont="1" applyFill="1" applyAlignment="1">
      <alignment horizontal="center" wrapText="1"/>
    </xf>
    <xf numFmtId="167" fontId="17" fillId="2" borderId="3" xfId="0" applyNumberFormat="1" applyFont="1" applyFill="1" applyBorder="1" applyAlignment="1">
      <alignment horizontal="center" wrapText="1"/>
    </xf>
    <xf numFmtId="170" fontId="17" fillId="2" borderId="3" xfId="0" applyNumberFormat="1" applyFont="1" applyFill="1" applyBorder="1" applyAlignment="1">
      <alignment horizontal="left"/>
    </xf>
    <xf numFmtId="167" fontId="17" fillId="2" borderId="3" xfId="0" applyNumberFormat="1" applyFont="1" applyFill="1" applyBorder="1" applyAlignment="1">
      <alignment horizontal="left"/>
    </xf>
    <xf numFmtId="0" fontId="16" fillId="2" borderId="0" xfId="0" applyFont="1" applyFill="1" applyAlignment="1">
      <alignment horizontal="center" wrapText="1"/>
    </xf>
    <xf numFmtId="170" fontId="17" fillId="2" borderId="0" xfId="0" applyNumberFormat="1" applyFont="1" applyFill="1" applyAlignment="1">
      <alignment horizontal="center" wrapText="1"/>
    </xf>
    <xf numFmtId="165" fontId="16" fillId="4" borderId="10" xfId="0" applyNumberFormat="1" applyFont="1" applyFill="1" applyBorder="1"/>
    <xf numFmtId="1" fontId="1" fillId="0" borderId="0" xfId="0" applyNumberFormat="1" applyFont="1" applyAlignment="1">
      <alignment vertical="top"/>
    </xf>
    <xf numFmtId="0" fontId="1" fillId="0" borderId="0" xfId="0" applyFont="1" applyAlignment="1">
      <alignment vertical="top"/>
    </xf>
    <xf numFmtId="1" fontId="14" fillId="2" borderId="0" xfId="0" applyNumberFormat="1" applyFont="1" applyFill="1" applyAlignment="1">
      <alignment horizontal="left"/>
    </xf>
    <xf numFmtId="0" fontId="1" fillId="2" borderId="0" xfId="0" applyFont="1" applyFill="1" applyAlignment="1">
      <alignment wrapText="1"/>
    </xf>
    <xf numFmtId="1" fontId="17" fillId="2" borderId="0" xfId="0" applyNumberFormat="1" applyFont="1" applyFill="1" applyAlignment="1">
      <alignment horizontal="right"/>
    </xf>
    <xf numFmtId="0" fontId="1" fillId="4" borderId="10" xfId="0" applyFont="1" applyFill="1" applyBorder="1" applyAlignment="1">
      <alignment horizontal="left"/>
    </xf>
    <xf numFmtId="0" fontId="1" fillId="4" borderId="10" xfId="0" applyFont="1" applyFill="1" applyBorder="1"/>
    <xf numFmtId="1" fontId="21" fillId="2" borderId="0" xfId="0" applyNumberFormat="1" applyFont="1" applyFill="1" applyAlignment="1">
      <alignment horizontal="right"/>
    </xf>
    <xf numFmtId="1" fontId="1" fillId="2" borderId="7" xfId="12" applyNumberFormat="1" applyFont="1" applyFill="1" applyBorder="1" applyAlignment="1">
      <alignment horizontal="center" wrapText="1"/>
    </xf>
    <xf numFmtId="165" fontId="1" fillId="0" borderId="0" xfId="0" applyNumberFormat="1" applyFont="1" applyAlignment="1">
      <alignment vertical="top"/>
    </xf>
    <xf numFmtId="173" fontId="1" fillId="0" borderId="0" xfId="0" applyNumberFormat="1" applyFont="1" applyAlignment="1">
      <alignment vertical="top"/>
    </xf>
    <xf numFmtId="0" fontId="1" fillId="4" borderId="10" xfId="0" applyFont="1" applyFill="1" applyBorder="1" applyAlignment="1">
      <alignment vertical="top"/>
    </xf>
    <xf numFmtId="0" fontId="1" fillId="4" borderId="10" xfId="0" applyFont="1" applyFill="1" applyBorder="1" applyAlignment="1">
      <alignment vertical="top" wrapText="1"/>
    </xf>
    <xf numFmtId="167" fontId="19" fillId="2" borderId="0" xfId="0" applyNumberFormat="1" applyFont="1" applyFill="1" applyAlignment="1">
      <alignment horizontal="right"/>
    </xf>
    <xf numFmtId="0" fontId="1" fillId="4" borderId="3" xfId="0" applyFont="1" applyFill="1" applyBorder="1" applyAlignment="1">
      <alignment vertical="top"/>
    </xf>
    <xf numFmtId="0" fontId="1" fillId="4" borderId="3" xfId="0" applyFont="1" applyFill="1" applyBorder="1" applyAlignment="1">
      <alignment vertical="top" wrapText="1"/>
    </xf>
    <xf numFmtId="0" fontId="1" fillId="4" borderId="0" xfId="0" applyFont="1" applyFill="1" applyAlignment="1">
      <alignment horizontal="left"/>
    </xf>
    <xf numFmtId="0" fontId="1" fillId="2" borderId="28" xfId="0" applyFont="1" applyFill="1" applyBorder="1" applyAlignment="1">
      <alignment horizontal="center"/>
    </xf>
    <xf numFmtId="0" fontId="1" fillId="2" borderId="10" xfId="0" applyFont="1" applyFill="1" applyBorder="1" applyAlignment="1">
      <alignment horizontal="center"/>
    </xf>
    <xf numFmtId="0" fontId="1" fillId="2" borderId="13" xfId="0" applyFont="1" applyFill="1" applyBorder="1" applyAlignment="1">
      <alignment horizontal="center"/>
    </xf>
    <xf numFmtId="0" fontId="1" fillId="2" borderId="20" xfId="0" applyFont="1" applyFill="1" applyBorder="1"/>
    <xf numFmtId="9" fontId="1" fillId="0" borderId="19" xfId="0" applyNumberFormat="1" applyFont="1" applyBorder="1"/>
    <xf numFmtId="0" fontId="1" fillId="2" borderId="12" xfId="0" applyFont="1" applyFill="1" applyBorder="1"/>
    <xf numFmtId="9" fontId="1" fillId="0" borderId="0" xfId="0" applyNumberFormat="1" applyFont="1"/>
    <xf numFmtId="0" fontId="1" fillId="2" borderId="2" xfId="0" applyFont="1" applyFill="1" applyBorder="1"/>
    <xf numFmtId="9" fontId="1" fillId="0" borderId="3" xfId="0" applyNumberFormat="1" applyFont="1" applyBorder="1"/>
    <xf numFmtId="14" fontId="1" fillId="4" borderId="3" xfId="0" applyNumberFormat="1" applyFont="1" applyFill="1" applyBorder="1" applyAlignment="1">
      <alignment horizontal="left"/>
    </xf>
    <xf numFmtId="14" fontId="1" fillId="0" borderId="10" xfId="0" applyNumberFormat="1" applyFont="1" applyBorder="1" applyAlignment="1">
      <alignment horizontal="left"/>
    </xf>
    <xf numFmtId="14" fontId="1" fillId="4" borderId="0" xfId="0" applyNumberFormat="1" applyFont="1" applyFill="1"/>
    <xf numFmtId="14" fontId="0" fillId="0" borderId="0" xfId="0" applyNumberFormat="1"/>
    <xf numFmtId="10" fontId="0" fillId="0" borderId="0" xfId="0" applyNumberFormat="1"/>
    <xf numFmtId="167" fontId="0" fillId="0" borderId="0" xfId="0" applyNumberFormat="1"/>
    <xf numFmtId="14" fontId="1" fillId="0" borderId="0" xfId="0" applyNumberFormat="1" applyFont="1" applyAlignment="1">
      <alignment vertical="top"/>
    </xf>
    <xf numFmtId="14" fontId="1" fillId="0" borderId="0" xfId="0" applyNumberFormat="1" applyFont="1"/>
    <xf numFmtId="1" fontId="0" fillId="0" borderId="0" xfId="0" applyNumberFormat="1"/>
    <xf numFmtId="2" fontId="0" fillId="0" borderId="0" xfId="0" applyNumberFormat="1"/>
    <xf numFmtId="14" fontId="16" fillId="4" borderId="10" xfId="0" applyNumberFormat="1" applyFont="1" applyFill="1" applyBorder="1" applyAlignment="1">
      <alignment horizontal="right"/>
    </xf>
    <xf numFmtId="14" fontId="16" fillId="4" borderId="3" xfId="0" applyNumberFormat="1" applyFont="1" applyFill="1" applyBorder="1"/>
    <xf numFmtId="14" fontId="16" fillId="4" borderId="3" xfId="0" applyNumberFormat="1" applyFont="1" applyFill="1" applyBorder="1" applyAlignment="1">
      <alignment horizontal="left"/>
    </xf>
    <xf numFmtId="14" fontId="1" fillId="4" borderId="3" xfId="0" applyNumberFormat="1" applyFont="1" applyFill="1" applyBorder="1"/>
    <xf numFmtId="0" fontId="25" fillId="0" borderId="0" xfId="0" applyFont="1"/>
    <xf numFmtId="0" fontId="25" fillId="0" borderId="4" xfId="0" applyFont="1" applyBorder="1"/>
    <xf numFmtId="0" fontId="27" fillId="0" borderId="0" xfId="0" applyFont="1" applyAlignment="1">
      <alignment wrapText="1"/>
    </xf>
    <xf numFmtId="0" fontId="27" fillId="0" borderId="29" xfId="0" applyFont="1" applyBorder="1" applyAlignment="1">
      <alignment vertical="top" wrapText="1"/>
    </xf>
    <xf numFmtId="0" fontId="27" fillId="9" borderId="29" xfId="0" applyFont="1" applyFill="1" applyBorder="1" applyAlignment="1">
      <alignment vertical="top" wrapText="1"/>
    </xf>
    <xf numFmtId="0" fontId="28" fillId="8" borderId="29" xfId="0" applyFont="1" applyFill="1" applyBorder="1" applyAlignment="1">
      <alignment horizontal="center" vertical="center" wrapText="1"/>
    </xf>
    <xf numFmtId="0" fontId="26" fillId="7" borderId="0" xfId="0" applyFont="1" applyFill="1" applyAlignment="1">
      <alignment horizontal="center" vertical="center" wrapText="1"/>
    </xf>
    <xf numFmtId="2" fontId="27" fillId="0" borderId="29" xfId="0" applyNumberFormat="1" applyFont="1" applyBorder="1" applyAlignment="1">
      <alignment vertical="top" wrapText="1"/>
    </xf>
    <xf numFmtId="0" fontId="5" fillId="2" borderId="1" xfId="0" applyFont="1" applyFill="1" applyBorder="1" applyAlignment="1">
      <alignment horizontal="center"/>
    </xf>
    <xf numFmtId="0" fontId="0" fillId="0" borderId="19" xfId="0" applyBorder="1"/>
    <xf numFmtId="0" fontId="0" fillId="0" borderId="12" xfId="0" applyBorder="1"/>
    <xf numFmtId="0" fontId="12" fillId="2" borderId="0" xfId="0" applyFont="1" applyFill="1" applyAlignment="1">
      <alignment horizontal="center" vertical="top" wrapText="1"/>
    </xf>
    <xf numFmtId="0" fontId="1" fillId="0" borderId="0" xfId="0" applyFont="1" applyAlignment="1">
      <alignment vertical="top" wrapText="1"/>
    </xf>
    <xf numFmtId="0" fontId="1" fillId="0" borderId="0" xfId="0" applyFont="1" applyAlignment="1">
      <alignment horizontal="left" vertical="top" wrapText="1"/>
    </xf>
    <xf numFmtId="0" fontId="14" fillId="2" borderId="0" xfId="0" applyFont="1" applyFill="1" applyAlignment="1">
      <alignment horizontal="left" vertical="top" wrapText="1"/>
    </xf>
    <xf numFmtId="0" fontId="13" fillId="2" borderId="0" xfId="0" applyFont="1" applyFill="1" applyAlignment="1">
      <alignment horizontal="left" vertical="top"/>
    </xf>
    <xf numFmtId="0" fontId="1" fillId="2" borderId="13" xfId="0" applyFont="1" applyFill="1" applyBorder="1" applyAlignment="1">
      <alignment horizontal="center" wrapText="1"/>
    </xf>
    <xf numFmtId="0" fontId="0" fillId="0" borderId="13" xfId="0" applyBorder="1"/>
    <xf numFmtId="0" fontId="1" fillId="2" borderId="7" xfId="0" applyFont="1" applyFill="1" applyBorder="1" applyAlignment="1">
      <alignment horizontal="center" wrapText="1"/>
    </xf>
    <xf numFmtId="0" fontId="16" fillId="4" borderId="3" xfId="0" applyFont="1" applyFill="1" applyBorder="1" applyAlignment="1">
      <alignment horizontal="left"/>
    </xf>
    <xf numFmtId="0" fontId="0" fillId="0" borderId="3" xfId="0" applyBorder="1"/>
    <xf numFmtId="0" fontId="16" fillId="2" borderId="0" xfId="0" applyFont="1" applyFill="1" applyAlignment="1">
      <alignment horizontal="left"/>
    </xf>
    <xf numFmtId="0" fontId="16" fillId="2" borderId="0" xfId="0" applyFont="1" applyFill="1"/>
    <xf numFmtId="0" fontId="16" fillId="4" borderId="0" xfId="0" applyFont="1" applyFill="1" applyAlignment="1">
      <alignment horizontal="left"/>
    </xf>
    <xf numFmtId="0" fontId="16" fillId="4" borderId="10" xfId="0" applyFont="1" applyFill="1" applyBorder="1" applyAlignment="1">
      <alignment horizontal="left"/>
    </xf>
    <xf numFmtId="0" fontId="0" fillId="0" borderId="10" xfId="0" applyBorder="1"/>
    <xf numFmtId="0" fontId="16" fillId="4" borderId="19" xfId="0" applyFont="1" applyFill="1" applyBorder="1" applyAlignment="1">
      <alignment horizontal="left"/>
    </xf>
    <xf numFmtId="14" fontId="16" fillId="4" borderId="10" xfId="0" applyNumberFormat="1" applyFont="1" applyFill="1" applyBorder="1" applyAlignment="1">
      <alignment horizontal="left"/>
    </xf>
    <xf numFmtId="167" fontId="1" fillId="4" borderId="3" xfId="0" applyNumberFormat="1" applyFont="1" applyFill="1" applyBorder="1"/>
    <xf numFmtId="0" fontId="1" fillId="2" borderId="3" xfId="0" applyFont="1" applyFill="1" applyBorder="1" applyAlignment="1">
      <alignment horizontal="center"/>
    </xf>
    <xf numFmtId="167" fontId="16" fillId="4" borderId="10" xfId="0" applyNumberFormat="1" applyFont="1" applyFill="1" applyBorder="1" applyAlignment="1">
      <alignment horizontal="left"/>
    </xf>
    <xf numFmtId="14" fontId="16" fillId="4" borderId="3" xfId="0" applyNumberFormat="1" applyFont="1" applyFill="1" applyBorder="1" applyAlignment="1">
      <alignment horizontal="left"/>
    </xf>
    <xf numFmtId="0" fontId="17" fillId="2" borderId="0" xfId="0" applyFont="1" applyFill="1" applyAlignment="1">
      <alignment horizontal="center"/>
    </xf>
    <xf numFmtId="170" fontId="16" fillId="4" borderId="10" xfId="0" applyNumberFormat="1" applyFont="1" applyFill="1" applyBorder="1"/>
    <xf numFmtId="0" fontId="1" fillId="4" borderId="3" xfId="0" applyFont="1" applyFill="1" applyBorder="1" applyAlignment="1">
      <alignment horizontal="left"/>
    </xf>
    <xf numFmtId="0" fontId="1" fillId="4" borderId="10" xfId="0" applyFont="1" applyFill="1" applyBorder="1" applyAlignment="1">
      <alignment horizontal="left"/>
    </xf>
    <xf numFmtId="0" fontId="26" fillId="7" borderId="0" xfId="0" applyFont="1" applyFill="1" applyAlignment="1">
      <alignment horizontal="center" vertical="center" wrapText="1"/>
    </xf>
    <xf numFmtId="0" fontId="26" fillId="7" borderId="0" xfId="0" applyFont="1" applyFill="1" applyAlignment="1">
      <alignment vertical="center" wrapText="1"/>
    </xf>
  </cellXfs>
  <cellStyles count="14">
    <cellStyle name="*unknown*" xfId="6" xr:uid="{00000000-0005-0000-0000-000006000000}"/>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Grey" xfId="7" xr:uid="{00000000-0005-0000-0000-000007000000}"/>
    <cellStyle name="Input [yellow]" xfId="8" xr:uid="{00000000-0005-0000-0000-000008000000}"/>
    <cellStyle name="no dec" xfId="9" xr:uid="{00000000-0005-0000-0000-000009000000}"/>
    <cellStyle name="Normal" xfId="0" builtinId="0"/>
    <cellStyle name="Normal - Style1" xfId="10" xr:uid="{00000000-0005-0000-0000-00000A000000}"/>
    <cellStyle name="Normal_Stuwbk97vBr1.10" xfId="11" xr:uid="{00000000-0005-0000-0000-00000B000000}"/>
    <cellStyle name="Normal_Stuwbk97vBr1.11" xfId="12" xr:uid="{00000000-0005-0000-0000-00000C000000}"/>
    <cellStyle name="Percent" xfId="5" xr:uid="{00000000-0005-0000-0000-000005000000}"/>
    <cellStyle name="Percent [2]" xfId="13" xr:uid="{00000000-0005-0000-0000-00000D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s-CO" sz="1000" b="1">
                <a:solidFill>
                  <a:srgbClr val="000000"/>
                </a:solidFill>
                <a:latin typeface="Arial"/>
                <a:ea typeface="Arial"/>
                <a:cs typeface="Arial"/>
              </a:rPr>
              <a:t>Cumulative Earned Value</a:t>
            </a:r>
          </a:p>
        </c:rich>
      </c:tx>
      <c:overlay val="0"/>
    </c:title>
    <c:autoTitleDeleted val="0"/>
    <c:plotArea>
      <c:layout/>
      <c:lineChart>
        <c:grouping val="standard"/>
        <c:varyColors val="0"/>
        <c:ser>
          <c:idx val="0"/>
          <c:order val="0"/>
          <c:tx>
            <c:strRef>
              <c:f>Schedule!$H$7</c:f>
              <c:strCache>
                <c:ptCount val="1"/>
                <c:pt idx="0">
                  <c:v>Cumulative Planned Value</c:v>
                </c:pt>
              </c:strCache>
            </c:strRef>
          </c:tx>
          <c:spPr>
            <a:ln w="12600">
              <a:solidFill>
                <a:srgbClr val="0000FF"/>
              </a:solidFill>
              <a:prstDash val="solid"/>
            </a:ln>
          </c:spPr>
          <c:marker>
            <c:symbol val="diamond"/>
            <c:size val="4"/>
            <c:spPr>
              <a:ln>
                <a:prstDash val="solid"/>
              </a:ln>
            </c:spPr>
          </c:marker>
          <c:cat>
            <c:numRef>
              <c:f>Schedule!$A$8:$A$11</c:f>
              <c:numCache>
                <c:formatCode>m/d/yyyy</c:formatCode>
                <c:ptCount val="4"/>
                <c:pt idx="0">
                  <c:v>46161</c:v>
                </c:pt>
                <c:pt idx="1">
                  <c:v>46168</c:v>
                </c:pt>
                <c:pt idx="2">
                  <c:v>46175</c:v>
                </c:pt>
                <c:pt idx="3">
                  <c:v>46196</c:v>
                </c:pt>
              </c:numCache>
            </c:numRef>
          </c:cat>
          <c:val>
            <c:numRef>
              <c:f>Schedule!$H$8:$H$11</c:f>
              <c:numCache>
                <c:formatCode>0.0</c:formatCode>
                <c:ptCount val="4"/>
                <c:pt idx="0">
                  <c:v>14.5</c:v>
                </c:pt>
                <c:pt idx="1">
                  <c:v>37.200000000000003</c:v>
                </c:pt>
                <c:pt idx="2">
                  <c:v>62.8</c:v>
                </c:pt>
                <c:pt idx="3">
                  <c:v>90.6</c:v>
                </c:pt>
              </c:numCache>
            </c:numRef>
          </c:val>
          <c:smooth val="0"/>
          <c:extLst>
            <c:ext xmlns:c16="http://schemas.microsoft.com/office/drawing/2014/chart" uri="{C3380CC4-5D6E-409C-BE32-E72D297353CC}">
              <c16:uniqueId val="{00000000-CD5C-4A7D-8BA2-263B36FBE2AA}"/>
            </c:ext>
          </c:extLst>
        </c:ser>
        <c:ser>
          <c:idx val="1"/>
          <c:order val="1"/>
          <c:tx>
            <c:strRef>
              <c:f>Schedule!$J$7</c:f>
              <c:strCache>
                <c:ptCount val="1"/>
                <c:pt idx="0">
                  <c:v>Cumulative EV</c:v>
                </c:pt>
              </c:strCache>
            </c:strRef>
          </c:tx>
          <c:spPr>
            <a:ln w="12600">
              <a:solidFill>
                <a:srgbClr val="FF00FF"/>
              </a:solidFill>
              <a:prstDash val="solid"/>
            </a:ln>
          </c:spPr>
          <c:marker>
            <c:symbol val="square"/>
            <c:size val="4"/>
            <c:spPr>
              <a:ln>
                <a:prstDash val="solid"/>
              </a:ln>
            </c:spPr>
          </c:marker>
          <c:cat>
            <c:numRef>
              <c:f>Schedule!$A$8:$A$11</c:f>
              <c:numCache>
                <c:formatCode>m/d/yyyy</c:formatCode>
                <c:ptCount val="4"/>
                <c:pt idx="0">
                  <c:v>46161</c:v>
                </c:pt>
                <c:pt idx="1">
                  <c:v>46168</c:v>
                </c:pt>
                <c:pt idx="2">
                  <c:v>46175</c:v>
                </c:pt>
                <c:pt idx="3">
                  <c:v>46196</c:v>
                </c:pt>
              </c:numCache>
            </c:numRef>
          </c:cat>
          <c:val>
            <c:numRef>
              <c:f>Schedule!$J$8:$J$11</c:f>
              <c:numCache>
                <c:formatCode>0.0</c:formatCode>
                <c:ptCount val="4"/>
                <c:pt idx="0">
                  <c:v>14.5</c:v>
                </c:pt>
                <c:pt idx="1">
                  <c:v>37.200000000000003</c:v>
                </c:pt>
                <c:pt idx="2">
                  <c:v>62.8</c:v>
                </c:pt>
                <c:pt idx="3">
                  <c:v>90.6</c:v>
                </c:pt>
              </c:numCache>
            </c:numRef>
          </c:val>
          <c:smooth val="0"/>
          <c:extLst>
            <c:ext xmlns:c16="http://schemas.microsoft.com/office/drawing/2014/chart" uri="{C3380CC4-5D6E-409C-BE32-E72D297353CC}">
              <c16:uniqueId val="{00000001-CD5C-4A7D-8BA2-263B36FBE2AA}"/>
            </c:ext>
          </c:extLst>
        </c:ser>
        <c:ser>
          <c:idx val="2"/>
          <c:order val="2"/>
          <c:tx>
            <c:strRef>
              <c:f>Schedule!$N$7</c:f>
              <c:strCache>
                <c:ptCount val="1"/>
                <c:pt idx="0">
                  <c:v>Cumulative Predicted Earned Value</c:v>
                </c:pt>
              </c:strCache>
            </c:strRef>
          </c:tx>
          <c:spPr>
            <a:ln w="12600">
              <a:solidFill>
                <a:srgbClr val="00FF00"/>
              </a:solidFill>
              <a:prstDash val="solid"/>
            </a:ln>
          </c:spPr>
          <c:marker>
            <c:symbol val="triangle"/>
            <c:size val="3"/>
            <c:spPr>
              <a:ln>
                <a:prstDash val="solid"/>
              </a:ln>
            </c:spPr>
          </c:marker>
          <c:cat>
            <c:numRef>
              <c:f>Schedule!$A$8:$A$11</c:f>
              <c:numCache>
                <c:formatCode>m/d/yyyy</c:formatCode>
                <c:ptCount val="4"/>
                <c:pt idx="0">
                  <c:v>46161</c:v>
                </c:pt>
                <c:pt idx="1">
                  <c:v>46168</c:v>
                </c:pt>
                <c:pt idx="2">
                  <c:v>46175</c:v>
                </c:pt>
                <c:pt idx="3">
                  <c:v>46196</c:v>
                </c:pt>
              </c:numCache>
            </c:numRef>
          </c:cat>
          <c:val>
            <c:numRef>
              <c:f>Schedule!$N$8:$N$11</c:f>
              <c:numCache>
                <c:formatCode>0.0</c:formatCode>
                <c:ptCount val="4"/>
                <c:pt idx="0">
                  <c:v>14.5</c:v>
                </c:pt>
                <c:pt idx="1">
                  <c:v>37.200000000000003</c:v>
                </c:pt>
                <c:pt idx="2">
                  <c:v>62.8</c:v>
                </c:pt>
                <c:pt idx="3">
                  <c:v>90.6</c:v>
                </c:pt>
              </c:numCache>
            </c:numRef>
          </c:val>
          <c:smooth val="0"/>
          <c:extLst>
            <c:ext xmlns:c16="http://schemas.microsoft.com/office/drawing/2014/chart" uri="{C3380CC4-5D6E-409C-BE32-E72D297353CC}">
              <c16:uniqueId val="{00000002-CD5C-4A7D-8BA2-263B36FBE2AA}"/>
            </c:ext>
          </c:extLst>
        </c:ser>
        <c:ser>
          <c:idx val="3"/>
          <c:order val="3"/>
          <c:tx>
            <c:strRef>
              <c:f>Schedule!$R$7</c:f>
              <c:strCache>
                <c:ptCount val="1"/>
                <c:pt idx="0">
                  <c:v>Baseline Cumulative Plan Value</c:v>
                </c:pt>
              </c:strCache>
            </c:strRef>
          </c:tx>
          <c:spPr>
            <a:ln w="12600">
              <a:solidFill>
                <a:srgbClr val="000000"/>
              </a:solidFill>
              <a:prstDash val="solid"/>
            </a:ln>
          </c:spPr>
          <c:marker>
            <c:symbol val="circle"/>
            <c:size val="2"/>
            <c:spPr>
              <a:ln>
                <a:prstDash val="solid"/>
              </a:ln>
            </c:spPr>
          </c:marker>
          <c:cat>
            <c:numRef>
              <c:f>Schedule!$A$8:$A$11</c:f>
              <c:numCache>
                <c:formatCode>m/d/yyyy</c:formatCode>
                <c:ptCount val="4"/>
                <c:pt idx="0">
                  <c:v>46161</c:v>
                </c:pt>
                <c:pt idx="1">
                  <c:v>46168</c:v>
                </c:pt>
                <c:pt idx="2">
                  <c:v>46175</c:v>
                </c:pt>
                <c:pt idx="3">
                  <c:v>46196</c:v>
                </c:pt>
              </c:numCache>
            </c:numRef>
          </c:cat>
          <c:val>
            <c:numRef>
              <c:f>Schedule!$R$8:$R$11</c:f>
              <c:numCache>
                <c:formatCode>0.0</c:formatCode>
                <c:ptCount val="4"/>
                <c:pt idx="0">
                  <c:v>14.5</c:v>
                </c:pt>
                <c:pt idx="1">
                  <c:v>37.200000000000003</c:v>
                </c:pt>
                <c:pt idx="2">
                  <c:v>62.8</c:v>
                </c:pt>
                <c:pt idx="3">
                  <c:v>90.6</c:v>
                </c:pt>
              </c:numCache>
            </c:numRef>
          </c:val>
          <c:smooth val="0"/>
          <c:extLst>
            <c:ext xmlns:c16="http://schemas.microsoft.com/office/drawing/2014/chart" uri="{C3380CC4-5D6E-409C-BE32-E72D297353CC}">
              <c16:uniqueId val="{00000003-CD5C-4A7D-8BA2-263B36FBE2AA}"/>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title>
          <c:tx>
            <c:rich>
              <a:bodyPr/>
              <a:lstStyle/>
              <a:p>
                <a:r>
                  <a:rPr lang="es-CO" sz="800" b="1">
                    <a:solidFill>
                      <a:srgbClr val="000000"/>
                    </a:solidFill>
                    <a:latin typeface="Arial"/>
                    <a:ea typeface="Arial"/>
                    <a:cs typeface="Arial"/>
                  </a:rPr>
                  <a:t>Weeks</a:t>
                </a:r>
              </a:p>
            </c:rich>
          </c:tx>
          <c:overlay val="0"/>
        </c:title>
        <c:numFmt formatCode="m/d/yyyy" sourceLinked="1"/>
        <c:majorTickMark val="cross"/>
        <c:minorTickMark val="none"/>
        <c:tickLblPos val="nextTo"/>
        <c:spPr>
          <a:ln w="0">
            <a:solidFill>
              <a:srgbClr val="000000"/>
            </a:solidFill>
            <a:prstDash val="solid"/>
          </a:ln>
        </c:spPr>
        <c:txPr>
          <a:bodyPr rot="-5400000" anchorCtr="1"/>
          <a:lstStyle/>
          <a:p>
            <a:pPr>
              <a:defRPr sz="800" b="0">
                <a:solidFill>
                  <a:srgbClr val="000000"/>
                </a:solidFill>
                <a:latin typeface="Arial"/>
                <a:ea typeface="Arial"/>
                <a:cs typeface="Arial"/>
              </a:defRPr>
            </a:pPr>
            <a:endParaRPr lang="es-CO"/>
          </a:p>
        </c:txPr>
        <c:crossAx val="48672768"/>
        <c:crosses val="autoZero"/>
        <c:auto val="1"/>
        <c:lblOffset val="100"/>
        <c:baseTimeUnit val="days"/>
      </c:dateAx>
      <c:valAx>
        <c:axId val="48672768"/>
        <c:scaling>
          <c:orientation val="minMax"/>
          <c:max val="100"/>
        </c:scaling>
        <c:delete val="0"/>
        <c:axPos val="l"/>
        <c:title>
          <c:tx>
            <c:rich>
              <a:bodyPr/>
              <a:lstStyle/>
              <a:p>
                <a:r>
                  <a:rPr lang="es-CO" sz="800" b="1">
                    <a:solidFill>
                      <a:srgbClr val="000000"/>
                    </a:solidFill>
                    <a:latin typeface="Arial"/>
                    <a:ea typeface="Arial"/>
                    <a:cs typeface="Arial"/>
                  </a:rPr>
                  <a:t>Earned Value</a:t>
                </a:r>
              </a:p>
            </c:rich>
          </c:tx>
          <c:overlay val="0"/>
        </c:title>
        <c:numFmt formatCode="0.0" sourceLinked="1"/>
        <c:majorTickMark val="cross"/>
        <c:minorTickMark val="none"/>
        <c:tickLblPos val="nextTo"/>
        <c:spPr>
          <a:ln w="0">
            <a:solidFill>
              <a:srgbClr val="000000"/>
            </a:solidFill>
            <a:prstDash val="solid"/>
          </a:ln>
        </c:spPr>
        <c:txPr>
          <a:bodyPr anchorCtr="1"/>
          <a:lstStyle/>
          <a:p>
            <a:pPr>
              <a:defRPr sz="800" b="0">
                <a:solidFill>
                  <a:srgbClr val="000000"/>
                </a:solidFill>
                <a:latin typeface="Arial"/>
                <a:ea typeface="Arial"/>
                <a:cs typeface="Arial"/>
              </a:defRPr>
            </a:pPr>
            <a:endParaRPr lang="es-CO"/>
          </a:p>
        </c:txPr>
        <c:crossAx val="48650112"/>
        <c:crosses val="autoZero"/>
        <c:crossBetween val="midCat"/>
      </c:valAx>
    </c:plotArea>
    <c:legend>
      <c:legendPos val="r"/>
      <c:overlay val="0"/>
      <c:spPr>
        <a:solidFill>
          <a:srgbClr val="FFFFFF"/>
        </a:solidFill>
        <a:ln>
          <a:prstDash val="solid"/>
        </a:ln>
      </c:spPr>
      <c:txPr>
        <a:bodyPr anchorCtr="1"/>
        <a:lstStyle/>
        <a:p>
          <a:pPr>
            <a:defRPr sz="620" b="0">
              <a:solidFill>
                <a:srgbClr val="000000"/>
              </a:solidFill>
              <a:latin typeface="Arial"/>
              <a:ea typeface="Arial"/>
              <a:cs typeface="Arial"/>
            </a:defRPr>
          </a:pPr>
          <a:endParaRPr lang="es-CO"/>
        </a:p>
      </c:txPr>
    </c:legend>
    <c:plotVisOnly val="1"/>
    <c:dispBlanksAs val="gap"/>
    <c:showDLblsOverMax val="1"/>
  </c:chart>
  <c:spPr>
    <a:solidFill>
      <a:srgbClr val="FFFFFF"/>
    </a:solidFill>
    <a:ln w="0">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50400</xdr:colOff>
      <xdr:row>7</xdr:row>
      <xdr:rowOff>57240</xdr:rowOff>
    </xdr:from>
    <xdr:to>
      <xdr:col>8</xdr:col>
      <xdr:colOff>21240</xdr:colOff>
      <xdr:row>35</xdr:row>
      <xdr:rowOff>76320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37"/>
  <sheetViews>
    <sheetView workbookViewId="0">
      <selection sqref="A1:E1"/>
    </sheetView>
  </sheetViews>
  <sheetFormatPr baseColWidth="10" defaultColWidth="11.44140625" defaultRowHeight="13.2" x14ac:dyDescent="0.25"/>
  <cols>
    <col min="1" max="1" width="18.6640625" style="1" customWidth="1"/>
    <col min="2" max="2" width="40.6640625" style="2" customWidth="1"/>
    <col min="3" max="3" width="1.6640625" style="2" customWidth="1"/>
    <col min="4" max="4" width="18.6640625" style="1" customWidth="1"/>
    <col min="5" max="5" width="40.6640625" style="2" customWidth="1"/>
    <col min="6" max="6" width="30.44140625" style="2" customWidth="1"/>
    <col min="7" max="257" width="11.44140625" style="2" customWidth="1"/>
  </cols>
  <sheetData>
    <row r="1" spans="1:12" ht="18" customHeight="1" x14ac:dyDescent="0.35">
      <c r="A1" s="278" t="s">
        <v>0</v>
      </c>
      <c r="B1" s="279"/>
      <c r="C1" s="279"/>
      <c r="D1" s="279"/>
      <c r="E1" s="280"/>
      <c r="G1" s="3"/>
      <c r="H1" s="3"/>
      <c r="I1" s="3"/>
      <c r="J1" s="3"/>
      <c r="K1" s="3"/>
      <c r="L1" s="4"/>
    </row>
    <row r="2" spans="1:12" x14ac:dyDescent="0.25">
      <c r="A2" s="5" t="s">
        <v>1</v>
      </c>
      <c r="B2" s="6" t="s">
        <v>2</v>
      </c>
      <c r="C2" s="6"/>
      <c r="D2" s="6" t="s">
        <v>3</v>
      </c>
      <c r="E2" s="7" t="s">
        <v>2</v>
      </c>
    </row>
    <row r="3" spans="1:12" x14ac:dyDescent="0.25">
      <c r="A3" s="8" t="s">
        <v>4</v>
      </c>
      <c r="D3" s="9" t="s">
        <v>5</v>
      </c>
      <c r="E3" s="10" t="s">
        <v>6</v>
      </c>
    </row>
    <row r="4" spans="1:12" x14ac:dyDescent="0.25">
      <c r="A4" s="11" t="s">
        <v>7</v>
      </c>
      <c r="D4" s="9" t="s">
        <v>8</v>
      </c>
      <c r="E4" s="10" t="s">
        <v>9</v>
      </c>
    </row>
    <row r="5" spans="1:12" x14ac:dyDescent="0.25">
      <c r="A5" s="12" t="s">
        <v>10</v>
      </c>
      <c r="B5" s="13" t="s">
        <v>11</v>
      </c>
      <c r="D5" s="9" t="s">
        <v>12</v>
      </c>
      <c r="E5" s="10" t="s">
        <v>13</v>
      </c>
    </row>
    <row r="6" spans="1:12" x14ac:dyDescent="0.25">
      <c r="A6" s="12" t="s">
        <v>14</v>
      </c>
      <c r="B6" s="13" t="s">
        <v>15</v>
      </c>
      <c r="D6" s="9" t="s">
        <v>16</v>
      </c>
      <c r="E6" s="10" t="s">
        <v>17</v>
      </c>
    </row>
    <row r="7" spans="1:12" x14ac:dyDescent="0.25">
      <c r="A7" s="12" t="s">
        <v>18</v>
      </c>
      <c r="B7" s="13" t="s">
        <v>19</v>
      </c>
      <c r="D7" s="9" t="s">
        <v>20</v>
      </c>
      <c r="E7" s="10" t="s">
        <v>21</v>
      </c>
    </row>
    <row r="8" spans="1:12" x14ac:dyDescent="0.25">
      <c r="A8" s="12" t="s">
        <v>22</v>
      </c>
      <c r="B8" s="13" t="s">
        <v>23</v>
      </c>
      <c r="D8" s="9" t="s">
        <v>24</v>
      </c>
      <c r="E8" s="10" t="s">
        <v>25</v>
      </c>
    </row>
    <row r="9" spans="1:12" x14ac:dyDescent="0.25">
      <c r="A9" s="12" t="s">
        <v>26</v>
      </c>
      <c r="B9" s="13" t="s">
        <v>27</v>
      </c>
      <c r="D9" s="9" t="s">
        <v>28</v>
      </c>
      <c r="E9" s="10" t="s">
        <v>29</v>
      </c>
    </row>
    <row r="10" spans="1:12" x14ac:dyDescent="0.25">
      <c r="A10" s="12" t="s">
        <v>30</v>
      </c>
      <c r="B10" s="13" t="s">
        <v>31</v>
      </c>
      <c r="D10" s="9" t="s">
        <v>32</v>
      </c>
      <c r="E10" s="10" t="s">
        <v>33</v>
      </c>
    </row>
    <row r="11" spans="1:12" x14ac:dyDescent="0.25">
      <c r="A11" s="12" t="s">
        <v>34</v>
      </c>
      <c r="B11" s="13" t="s">
        <v>35</v>
      </c>
      <c r="D11" s="9" t="s">
        <v>36</v>
      </c>
      <c r="E11" s="10" t="s">
        <v>37</v>
      </c>
    </row>
    <row r="12" spans="1:12" x14ac:dyDescent="0.25">
      <c r="A12" s="12"/>
      <c r="B12" s="13"/>
      <c r="D12" s="9" t="s">
        <v>38</v>
      </c>
      <c r="E12" s="10" t="s">
        <v>39</v>
      </c>
    </row>
    <row r="13" spans="1:12" x14ac:dyDescent="0.25">
      <c r="A13" s="12"/>
      <c r="B13" s="13"/>
      <c r="D13" s="9" t="s">
        <v>40</v>
      </c>
      <c r="E13" s="10" t="s">
        <v>41</v>
      </c>
    </row>
    <row r="14" spans="1:12" x14ac:dyDescent="0.25">
      <c r="A14" s="12"/>
      <c r="B14" s="13"/>
      <c r="D14" s="9" t="s">
        <v>42</v>
      </c>
      <c r="E14" s="10" t="s">
        <v>43</v>
      </c>
    </row>
    <row r="15" spans="1:12" x14ac:dyDescent="0.25">
      <c r="A15" s="12"/>
      <c r="B15" s="13"/>
      <c r="D15" s="9" t="s">
        <v>44</v>
      </c>
      <c r="E15" s="10" t="s">
        <v>45</v>
      </c>
    </row>
    <row r="16" spans="1:12" x14ac:dyDescent="0.25">
      <c r="A16" s="14"/>
      <c r="B16" s="13"/>
      <c r="D16" s="9" t="s">
        <v>46</v>
      </c>
      <c r="E16" s="10" t="s">
        <v>47</v>
      </c>
    </row>
    <row r="17" spans="1:5" x14ac:dyDescent="0.25">
      <c r="A17" s="14"/>
      <c r="B17" s="13"/>
      <c r="D17" s="9" t="s">
        <v>48</v>
      </c>
      <c r="E17" s="10" t="s">
        <v>49</v>
      </c>
    </row>
    <row r="18" spans="1:5" x14ac:dyDescent="0.25">
      <c r="A18" s="14"/>
      <c r="B18" s="13"/>
      <c r="D18" s="9"/>
      <c r="E18" s="10"/>
    </row>
    <row r="19" spans="1:5" x14ac:dyDescent="0.25">
      <c r="A19" s="8" t="s">
        <v>50</v>
      </c>
      <c r="D19" s="9"/>
      <c r="E19" s="10"/>
    </row>
    <row r="20" spans="1:5" x14ac:dyDescent="0.25">
      <c r="A20" s="11" t="s">
        <v>51</v>
      </c>
      <c r="B20" s="1"/>
      <c r="D20" s="9"/>
      <c r="E20" s="10"/>
    </row>
    <row r="21" spans="1:5" x14ac:dyDescent="0.25">
      <c r="A21" s="12" t="s">
        <v>52</v>
      </c>
      <c r="B21" s="13" t="s">
        <v>53</v>
      </c>
      <c r="D21" s="9"/>
      <c r="E21" s="10"/>
    </row>
    <row r="22" spans="1:5" x14ac:dyDescent="0.25">
      <c r="A22" s="12" t="s">
        <v>54</v>
      </c>
      <c r="B22" s="13" t="s">
        <v>55</v>
      </c>
      <c r="C22" s="15"/>
      <c r="D22" s="9"/>
      <c r="E22" s="10"/>
    </row>
    <row r="23" spans="1:5" x14ac:dyDescent="0.25">
      <c r="A23" s="14"/>
      <c r="B23" s="13" t="s">
        <v>56</v>
      </c>
      <c r="D23" s="9"/>
      <c r="E23" s="10"/>
    </row>
    <row r="24" spans="1:5" x14ac:dyDescent="0.25">
      <c r="A24" s="12" t="s">
        <v>30</v>
      </c>
      <c r="B24" s="13" t="s">
        <v>31</v>
      </c>
      <c r="D24" s="9"/>
      <c r="E24" s="10"/>
    </row>
    <row r="25" spans="1:5" x14ac:dyDescent="0.25">
      <c r="A25" s="12" t="s">
        <v>34</v>
      </c>
      <c r="B25" s="13" t="s">
        <v>35</v>
      </c>
      <c r="D25" s="9"/>
      <c r="E25" s="10"/>
    </row>
    <row r="26" spans="1:5" x14ac:dyDescent="0.25">
      <c r="A26" s="12"/>
      <c r="B26" s="13" t="s">
        <v>57</v>
      </c>
      <c r="D26" s="9"/>
      <c r="E26" s="10"/>
    </row>
    <row r="27" spans="1:5" x14ac:dyDescent="0.25">
      <c r="A27" s="12"/>
      <c r="B27" s="13" t="s">
        <v>58</v>
      </c>
      <c r="D27" s="9"/>
      <c r="E27" s="10"/>
    </row>
    <row r="28" spans="1:5" x14ac:dyDescent="0.25">
      <c r="A28" s="12"/>
      <c r="B28" s="13" t="s">
        <v>59</v>
      </c>
      <c r="D28" s="9"/>
      <c r="E28" s="10"/>
    </row>
    <row r="29" spans="1:5" x14ac:dyDescent="0.25">
      <c r="A29" s="14"/>
      <c r="B29" s="13"/>
      <c r="D29" s="9"/>
      <c r="E29" s="10"/>
    </row>
    <row r="30" spans="1:5" x14ac:dyDescent="0.25">
      <c r="A30" s="14"/>
      <c r="B30" s="13"/>
      <c r="D30" s="9"/>
      <c r="E30" s="10"/>
    </row>
    <row r="31" spans="1:5" x14ac:dyDescent="0.25">
      <c r="A31" s="8" t="s">
        <v>60</v>
      </c>
      <c r="D31" s="9"/>
      <c r="E31" s="10"/>
    </row>
    <row r="32" spans="1:5" x14ac:dyDescent="0.25">
      <c r="A32" s="12" t="s">
        <v>61</v>
      </c>
      <c r="B32" s="13" t="s">
        <v>62</v>
      </c>
      <c r="D32" s="9"/>
      <c r="E32" s="10"/>
    </row>
    <row r="33" spans="1:5" x14ac:dyDescent="0.25">
      <c r="A33" s="12" t="s">
        <v>63</v>
      </c>
      <c r="B33" s="13" t="s">
        <v>64</v>
      </c>
      <c r="D33" s="9"/>
      <c r="E33" s="10"/>
    </row>
    <row r="34" spans="1:5" x14ac:dyDescent="0.25">
      <c r="A34" s="14"/>
      <c r="B34" s="13"/>
      <c r="E34" s="16"/>
    </row>
    <row r="35" spans="1:5" x14ac:dyDescent="0.25">
      <c r="A35" s="17"/>
      <c r="B35" s="13"/>
      <c r="D35" s="18"/>
      <c r="E35" s="16"/>
    </row>
    <row r="36" spans="1:5" x14ac:dyDescent="0.25">
      <c r="A36" s="19"/>
      <c r="B36" s="20"/>
      <c r="C36" s="20"/>
      <c r="E36" s="16"/>
    </row>
    <row r="37" spans="1:5" x14ac:dyDescent="0.25">
      <c r="D37" s="21"/>
      <c r="E37" s="22"/>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53"/>
  <sheetViews>
    <sheetView workbookViewId="0">
      <selection sqref="A1:D1"/>
    </sheetView>
  </sheetViews>
  <sheetFormatPr baseColWidth="10" defaultColWidth="11.44140625" defaultRowHeight="13.2" x14ac:dyDescent="0.25"/>
  <cols>
    <col min="1" max="2" width="15.6640625" style="23" customWidth="1"/>
    <col min="3" max="3" width="53.33203125" style="24" customWidth="1"/>
    <col min="4" max="4" width="15.6640625" style="23" customWidth="1"/>
    <col min="5" max="257" width="11.44140625" style="2" customWidth="1"/>
  </cols>
  <sheetData>
    <row r="1" spans="1:4" ht="21" customHeight="1" x14ac:dyDescent="0.25">
      <c r="A1" s="281" t="str">
        <f>TSPProcessName&amp;" Support Tool Instructions"</f>
        <v>TSPi Support Tool Instructions</v>
      </c>
      <c r="B1" s="282"/>
      <c r="C1" s="283"/>
      <c r="D1" s="282"/>
    </row>
    <row r="2" spans="1:4" x14ac:dyDescent="0.25">
      <c r="A2" s="25"/>
      <c r="B2" s="285"/>
      <c r="C2" s="283"/>
      <c r="D2" s="282"/>
    </row>
    <row r="3" spans="1:4" ht="15.75" customHeight="1" x14ac:dyDescent="0.25">
      <c r="A3" s="284" t="s">
        <v>65</v>
      </c>
      <c r="B3" s="282"/>
      <c r="C3" s="283"/>
      <c r="D3" s="2"/>
    </row>
    <row r="4" spans="1:4" x14ac:dyDescent="0.25">
      <c r="A4" s="26" t="s">
        <v>66</v>
      </c>
      <c r="B4" s="26" t="s">
        <v>67</v>
      </c>
      <c r="C4" s="26" t="s">
        <v>68</v>
      </c>
      <c r="D4" s="26" t="s">
        <v>69</v>
      </c>
    </row>
    <row r="5" spans="1:4" ht="20.399999999999999" customHeight="1" x14ac:dyDescent="0.25">
      <c r="A5" s="23" t="s">
        <v>70</v>
      </c>
      <c r="B5" s="23" t="s">
        <v>71</v>
      </c>
      <c r="C5" s="23" t="s">
        <v>72</v>
      </c>
      <c r="D5" s="27" t="s">
        <v>73</v>
      </c>
    </row>
    <row r="6" spans="1:4" ht="20.399999999999999" customHeight="1" x14ac:dyDescent="0.25">
      <c r="A6" s="23" t="s">
        <v>70</v>
      </c>
      <c r="B6" s="23" t="s">
        <v>71</v>
      </c>
      <c r="C6" s="23" t="s">
        <v>74</v>
      </c>
      <c r="D6" s="27" t="s">
        <v>75</v>
      </c>
    </row>
    <row r="7" spans="1:4" x14ac:dyDescent="0.25">
      <c r="A7" s="23" t="s">
        <v>70</v>
      </c>
      <c r="B7" s="23" t="s">
        <v>71</v>
      </c>
      <c r="C7" s="23" t="s">
        <v>76</v>
      </c>
      <c r="D7" s="27" t="s">
        <v>77</v>
      </c>
    </row>
    <row r="8" spans="1:4" x14ac:dyDescent="0.25">
      <c r="A8" s="28"/>
      <c r="B8" s="28"/>
      <c r="C8" s="28"/>
      <c r="D8" s="28"/>
    </row>
    <row r="9" spans="1:4" ht="20.399999999999999" hidden="1" customHeight="1" x14ac:dyDescent="0.25">
      <c r="A9" s="23" t="s">
        <v>78</v>
      </c>
      <c r="B9" s="23" t="s">
        <v>79</v>
      </c>
      <c r="C9" s="23" t="s">
        <v>80</v>
      </c>
      <c r="D9" s="27" t="s">
        <v>81</v>
      </c>
    </row>
    <row r="10" spans="1:4" ht="20.399999999999999" customHeight="1" x14ac:dyDescent="0.25">
      <c r="A10" s="23" t="s">
        <v>82</v>
      </c>
      <c r="B10" s="23" t="s">
        <v>79</v>
      </c>
      <c r="C10" s="23" t="s">
        <v>83</v>
      </c>
      <c r="D10" s="27" t="s">
        <v>84</v>
      </c>
    </row>
    <row r="11" spans="1:4" x14ac:dyDescent="0.25">
      <c r="A11" s="28"/>
      <c r="B11" s="28"/>
      <c r="C11" s="28"/>
      <c r="D11" s="28"/>
    </row>
    <row r="12" spans="1:4" ht="20.399999999999999" customHeight="1" x14ac:dyDescent="0.25">
      <c r="A12" s="23" t="s">
        <v>85</v>
      </c>
      <c r="B12" s="23" t="s">
        <v>79</v>
      </c>
      <c r="C12" s="23" t="s">
        <v>86</v>
      </c>
      <c r="D12" s="27" t="s">
        <v>87</v>
      </c>
    </row>
    <row r="13" spans="1:4" ht="30.6" customHeight="1" x14ac:dyDescent="0.25">
      <c r="A13" s="23" t="s">
        <v>85</v>
      </c>
      <c r="B13" s="23" t="s">
        <v>79</v>
      </c>
      <c r="C13" s="23" t="s">
        <v>88</v>
      </c>
      <c r="D13" s="27" t="s">
        <v>87</v>
      </c>
    </row>
    <row r="14" spans="1:4" ht="20.399999999999999" customHeight="1" x14ac:dyDescent="0.25">
      <c r="A14" s="23" t="s">
        <v>89</v>
      </c>
      <c r="B14" s="23" t="s">
        <v>79</v>
      </c>
      <c r="C14" s="24" t="s">
        <v>90</v>
      </c>
      <c r="D14" s="27" t="s">
        <v>91</v>
      </c>
    </row>
    <row r="15" spans="1:4" ht="20.399999999999999" customHeight="1" x14ac:dyDescent="0.25">
      <c r="B15" s="23" t="s">
        <v>79</v>
      </c>
      <c r="C15" s="24" t="s">
        <v>92</v>
      </c>
      <c r="D15" s="27" t="s">
        <v>87</v>
      </c>
    </row>
    <row r="16" spans="1:4" x14ac:dyDescent="0.25">
      <c r="A16" s="28"/>
      <c r="B16" s="28"/>
      <c r="C16" s="29"/>
      <c r="D16" s="28"/>
    </row>
    <row r="17" spans="1:4" x14ac:dyDescent="0.25">
      <c r="A17" s="23" t="s">
        <v>93</v>
      </c>
      <c r="B17" s="23" t="s">
        <v>14</v>
      </c>
      <c r="C17" s="23" t="s">
        <v>94</v>
      </c>
    </row>
    <row r="18" spans="1:4" ht="20.399999999999999" customHeight="1" x14ac:dyDescent="0.25">
      <c r="A18" s="23" t="s">
        <v>93</v>
      </c>
      <c r="B18" s="23" t="s">
        <v>95</v>
      </c>
      <c r="C18" s="24" t="s">
        <v>96</v>
      </c>
      <c r="D18" s="27" t="s">
        <v>97</v>
      </c>
    </row>
    <row r="19" spans="1:4" ht="20.399999999999999" customHeight="1" x14ac:dyDescent="0.25">
      <c r="A19" s="23" t="s">
        <v>93</v>
      </c>
      <c r="B19" s="23" t="s">
        <v>95</v>
      </c>
      <c r="C19" s="24" t="s">
        <v>98</v>
      </c>
      <c r="D19" s="27" t="s">
        <v>99</v>
      </c>
    </row>
    <row r="20" spans="1:4" ht="30.6" customHeight="1" x14ac:dyDescent="0.25">
      <c r="A20" s="23" t="s">
        <v>93</v>
      </c>
      <c r="B20" s="23" t="s">
        <v>14</v>
      </c>
      <c r="C20" s="24" t="s">
        <v>100</v>
      </c>
      <c r="D20" s="27"/>
    </row>
    <row r="21" spans="1:4" x14ac:dyDescent="0.25">
      <c r="A21" s="28"/>
      <c r="B21" s="28"/>
      <c r="C21" s="29"/>
      <c r="D21" s="28"/>
    </row>
    <row r="22" spans="1:4" ht="30.6" customHeight="1" x14ac:dyDescent="0.25">
      <c r="A22" s="23" t="s">
        <v>101</v>
      </c>
      <c r="B22" s="23" t="s">
        <v>79</v>
      </c>
      <c r="C22" s="24" t="s">
        <v>102</v>
      </c>
      <c r="D22" s="27" t="s">
        <v>75</v>
      </c>
    </row>
    <row r="23" spans="1:4" ht="30.6" customHeight="1" x14ac:dyDescent="0.25">
      <c r="A23" s="23" t="s">
        <v>101</v>
      </c>
      <c r="B23" s="23" t="s">
        <v>103</v>
      </c>
      <c r="C23" s="24" t="s">
        <v>104</v>
      </c>
      <c r="D23" s="27" t="s">
        <v>87</v>
      </c>
    </row>
    <row r="24" spans="1:4" ht="20.399999999999999" customHeight="1" x14ac:dyDescent="0.25">
      <c r="A24" s="23" t="s">
        <v>101</v>
      </c>
      <c r="B24" s="23" t="s">
        <v>103</v>
      </c>
      <c r="C24" s="24" t="s">
        <v>105</v>
      </c>
      <c r="D24" s="27" t="s">
        <v>91</v>
      </c>
    </row>
    <row r="25" spans="1:4" ht="40.799999999999997" customHeight="1" x14ac:dyDescent="0.25">
      <c r="A25" s="23" t="s">
        <v>101</v>
      </c>
      <c r="B25" s="23" t="s">
        <v>79</v>
      </c>
      <c r="C25" s="24" t="s">
        <v>106</v>
      </c>
      <c r="D25" s="27" t="s">
        <v>75</v>
      </c>
    </row>
    <row r="26" spans="1:4" ht="30.6" customHeight="1" x14ac:dyDescent="0.25">
      <c r="A26" s="23" t="s">
        <v>101</v>
      </c>
      <c r="B26" s="23" t="s">
        <v>107</v>
      </c>
      <c r="C26" s="24" t="s">
        <v>108</v>
      </c>
    </row>
    <row r="27" spans="1:4" ht="15.75" customHeight="1" x14ac:dyDescent="0.25">
      <c r="A27" s="284" t="s">
        <v>109</v>
      </c>
      <c r="B27" s="282"/>
      <c r="C27" s="283"/>
      <c r="D27" s="28"/>
    </row>
    <row r="28" spans="1:4" x14ac:dyDescent="0.25">
      <c r="A28" s="26" t="s">
        <v>66</v>
      </c>
      <c r="B28" s="26" t="s">
        <v>67</v>
      </c>
      <c r="C28" s="26" t="s">
        <v>68</v>
      </c>
      <c r="D28" s="26" t="s">
        <v>69</v>
      </c>
    </row>
    <row r="29" spans="1:4" ht="30.6" customHeight="1" x14ac:dyDescent="0.25">
      <c r="A29" s="23" t="s">
        <v>110</v>
      </c>
      <c r="B29" s="23" t="s">
        <v>107</v>
      </c>
      <c r="C29" s="24" t="s">
        <v>111</v>
      </c>
      <c r="D29" s="27" t="s">
        <v>112</v>
      </c>
    </row>
    <row r="30" spans="1:4" ht="30.6" customHeight="1" x14ac:dyDescent="0.25">
      <c r="A30" s="23" t="s">
        <v>113</v>
      </c>
      <c r="B30" s="23" t="s">
        <v>107</v>
      </c>
      <c r="C30" s="24" t="s">
        <v>114</v>
      </c>
      <c r="D30" s="27" t="s">
        <v>115</v>
      </c>
    </row>
    <row r="31" spans="1:4" x14ac:dyDescent="0.25">
      <c r="A31" s="28"/>
      <c r="B31" s="28"/>
      <c r="C31" s="29"/>
      <c r="D31" s="28"/>
    </row>
    <row r="32" spans="1:4" ht="20.399999999999999" customHeight="1" x14ac:dyDescent="0.25">
      <c r="A32" s="23" t="s">
        <v>116</v>
      </c>
      <c r="B32" s="23" t="s">
        <v>107</v>
      </c>
      <c r="C32" s="24" t="s">
        <v>117</v>
      </c>
      <c r="D32" s="27" t="s">
        <v>73</v>
      </c>
    </row>
    <row r="33" spans="1:4" x14ac:dyDescent="0.25">
      <c r="A33" s="23" t="s">
        <v>116</v>
      </c>
      <c r="B33" s="23" t="s">
        <v>107</v>
      </c>
      <c r="C33" s="24" t="s">
        <v>118</v>
      </c>
      <c r="D33" s="27" t="s">
        <v>87</v>
      </c>
    </row>
    <row r="34" spans="1:4" x14ac:dyDescent="0.25">
      <c r="A34" s="23" t="s">
        <v>116</v>
      </c>
      <c r="B34" s="23" t="s">
        <v>107</v>
      </c>
      <c r="C34" s="24" t="s">
        <v>119</v>
      </c>
      <c r="D34" s="27" t="s">
        <v>91</v>
      </c>
    </row>
    <row r="35" spans="1:4" ht="20.399999999999999" customHeight="1" x14ac:dyDescent="0.25">
      <c r="A35" s="23" t="s">
        <v>116</v>
      </c>
      <c r="B35" s="23" t="s">
        <v>107</v>
      </c>
      <c r="C35" s="24" t="s">
        <v>120</v>
      </c>
      <c r="D35" s="27" t="s">
        <v>121</v>
      </c>
    </row>
    <row r="36" spans="1:4" ht="20.399999999999999" customHeight="1" x14ac:dyDescent="0.25">
      <c r="A36" s="23" t="s">
        <v>116</v>
      </c>
      <c r="B36" s="23" t="s">
        <v>107</v>
      </c>
      <c r="C36" s="24" t="s">
        <v>122</v>
      </c>
      <c r="D36" s="27"/>
    </row>
    <row r="37" spans="1:4" ht="20.399999999999999" customHeight="1" x14ac:dyDescent="0.25">
      <c r="A37" s="23" t="s">
        <v>116</v>
      </c>
      <c r="B37" s="23" t="s">
        <v>79</v>
      </c>
      <c r="C37" s="24" t="s">
        <v>123</v>
      </c>
      <c r="D37" s="27"/>
    </row>
    <row r="38" spans="1:4" ht="40.799999999999997" customHeight="1" x14ac:dyDescent="0.25">
      <c r="A38" s="23" t="s">
        <v>116</v>
      </c>
      <c r="B38" s="23" t="s">
        <v>79</v>
      </c>
      <c r="C38" s="24" t="s">
        <v>124</v>
      </c>
      <c r="D38" s="27" t="s">
        <v>125</v>
      </c>
    </row>
    <row r="39" spans="1:4" ht="20.399999999999999" customHeight="1" x14ac:dyDescent="0.25">
      <c r="A39" s="23" t="s">
        <v>116</v>
      </c>
      <c r="B39" s="23" t="s">
        <v>79</v>
      </c>
      <c r="C39" s="24" t="s">
        <v>126</v>
      </c>
      <c r="D39" s="27" t="s">
        <v>73</v>
      </c>
    </row>
    <row r="40" spans="1:4" x14ac:dyDescent="0.25">
      <c r="A40" s="23" t="s">
        <v>116</v>
      </c>
      <c r="B40" s="23" t="s">
        <v>79</v>
      </c>
      <c r="C40" s="24" t="s">
        <v>118</v>
      </c>
      <c r="D40" s="27" t="s">
        <v>87</v>
      </c>
    </row>
    <row r="41" spans="1:4" x14ac:dyDescent="0.25">
      <c r="A41" s="23" t="s">
        <v>116</v>
      </c>
      <c r="B41" s="23" t="s">
        <v>79</v>
      </c>
      <c r="C41" s="24" t="s">
        <v>119</v>
      </c>
      <c r="D41" s="27" t="s">
        <v>91</v>
      </c>
    </row>
    <row r="42" spans="1:4" ht="20.399999999999999" customHeight="1" x14ac:dyDescent="0.25">
      <c r="A42" s="23" t="s">
        <v>116</v>
      </c>
      <c r="B42" s="23" t="s">
        <v>79</v>
      </c>
      <c r="C42" s="24" t="s">
        <v>120</v>
      </c>
      <c r="D42" s="27" t="s">
        <v>121</v>
      </c>
    </row>
    <row r="43" spans="1:4" ht="40.799999999999997" customHeight="1" x14ac:dyDescent="0.25">
      <c r="A43" s="23" t="s">
        <v>116</v>
      </c>
      <c r="B43" s="23" t="s">
        <v>79</v>
      </c>
      <c r="C43" s="24" t="s">
        <v>127</v>
      </c>
      <c r="D43" s="27" t="s">
        <v>73</v>
      </c>
    </row>
    <row r="44" spans="1:4" ht="51" customHeight="1" x14ac:dyDescent="0.25">
      <c r="A44" s="23" t="s">
        <v>128</v>
      </c>
      <c r="B44" s="23" t="s">
        <v>79</v>
      </c>
      <c r="C44" s="24" t="s">
        <v>129</v>
      </c>
      <c r="D44" s="27" t="s">
        <v>73</v>
      </c>
    </row>
    <row r="45" spans="1:4" ht="15.75" customHeight="1" x14ac:dyDescent="0.25">
      <c r="A45" s="284" t="s">
        <v>130</v>
      </c>
      <c r="B45" s="282"/>
      <c r="C45" s="283"/>
      <c r="D45" s="28"/>
    </row>
    <row r="46" spans="1:4" x14ac:dyDescent="0.25">
      <c r="A46" s="26" t="s">
        <v>66</v>
      </c>
      <c r="B46" s="26" t="s">
        <v>67</v>
      </c>
      <c r="C46" s="26" t="s">
        <v>68</v>
      </c>
      <c r="D46" s="26" t="s">
        <v>69</v>
      </c>
    </row>
    <row r="47" spans="1:4" ht="20.399999999999999" customHeight="1" x14ac:dyDescent="0.25">
      <c r="A47" s="23" t="s">
        <v>131</v>
      </c>
      <c r="B47" s="23" t="s">
        <v>107</v>
      </c>
      <c r="C47" s="24" t="s">
        <v>132</v>
      </c>
      <c r="D47" s="30" t="s">
        <v>133</v>
      </c>
    </row>
    <row r="48" spans="1:4" ht="20.399999999999999" customHeight="1" x14ac:dyDescent="0.25">
      <c r="A48" s="23" t="s">
        <v>131</v>
      </c>
      <c r="B48" s="23" t="s">
        <v>107</v>
      </c>
      <c r="C48" s="24" t="s">
        <v>134</v>
      </c>
      <c r="D48" s="27" t="s">
        <v>73</v>
      </c>
    </row>
    <row r="49" spans="1:4" ht="20.399999999999999" customHeight="1" x14ac:dyDescent="0.25">
      <c r="A49" s="23" t="s">
        <v>131</v>
      </c>
      <c r="B49" s="23" t="s">
        <v>79</v>
      </c>
      <c r="C49" s="24" t="s">
        <v>132</v>
      </c>
      <c r="D49" s="30" t="s">
        <v>133</v>
      </c>
    </row>
    <row r="50" spans="1:4" ht="20.399999999999999" customHeight="1" x14ac:dyDescent="0.25">
      <c r="A50" s="23" t="s">
        <v>131</v>
      </c>
      <c r="B50" s="23" t="s">
        <v>79</v>
      </c>
      <c r="C50" s="24" t="s">
        <v>135</v>
      </c>
      <c r="D50" s="27" t="s">
        <v>136</v>
      </c>
    </row>
    <row r="51" spans="1:4" ht="20.399999999999999" customHeight="1" x14ac:dyDescent="0.25">
      <c r="A51" s="23" t="s">
        <v>131</v>
      </c>
      <c r="B51" s="23" t="s">
        <v>79</v>
      </c>
      <c r="C51" s="24" t="s">
        <v>137</v>
      </c>
      <c r="D51" s="27" t="s">
        <v>138</v>
      </c>
    </row>
    <row r="52" spans="1:4" x14ac:dyDescent="0.25">
      <c r="A52" s="23" t="s">
        <v>131</v>
      </c>
      <c r="B52" s="23" t="s">
        <v>79</v>
      </c>
      <c r="C52" s="24" t="s">
        <v>139</v>
      </c>
      <c r="D52" s="27" t="s">
        <v>84</v>
      </c>
    </row>
    <row r="53" spans="1:4" ht="20.399999999999999" customHeight="1" x14ac:dyDescent="0.25">
      <c r="A53" s="23" t="s">
        <v>131</v>
      </c>
      <c r="B53" s="23" t="s">
        <v>79</v>
      </c>
      <c r="C53" s="24" t="s">
        <v>140</v>
      </c>
      <c r="D53" s="27" t="s">
        <v>73</v>
      </c>
    </row>
  </sheetData>
  <mergeCells count="5">
    <mergeCell ref="A1:D1"/>
    <mergeCell ref="A45:C45"/>
    <mergeCell ref="A27:C27"/>
    <mergeCell ref="A3:C3"/>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66"/>
  <sheetViews>
    <sheetView workbookViewId="0">
      <selection sqref="A1:D1"/>
    </sheetView>
  </sheetViews>
  <sheetFormatPr baseColWidth="10" defaultColWidth="11.44140625" defaultRowHeight="13.2" x14ac:dyDescent="0.25"/>
  <cols>
    <col min="1" max="2" width="15.6640625" style="23" customWidth="1"/>
    <col min="3" max="3" width="53.33203125" style="24" customWidth="1"/>
    <col min="4" max="4" width="15.6640625" style="23" customWidth="1"/>
    <col min="5" max="257" width="11.44140625" style="2" customWidth="1"/>
  </cols>
  <sheetData>
    <row r="1" spans="1:4" ht="21" customHeight="1" x14ac:dyDescent="0.25">
      <c r="A1" s="281" t="str">
        <f>TSPProcessName&amp;" Support Tool Instructions"</f>
        <v>TSPi Support Tool Instructions</v>
      </c>
      <c r="B1" s="282"/>
      <c r="C1" s="283"/>
      <c r="D1" s="282"/>
    </row>
    <row r="2" spans="1:4" x14ac:dyDescent="0.25">
      <c r="A2" s="25"/>
      <c r="B2" s="285"/>
      <c r="C2" s="283"/>
      <c r="D2" s="282"/>
    </row>
    <row r="3" spans="1:4" ht="15.75" customHeight="1" x14ac:dyDescent="0.25">
      <c r="A3" s="284" t="s">
        <v>65</v>
      </c>
      <c r="B3" s="282"/>
      <c r="C3" s="283"/>
      <c r="D3" s="2"/>
    </row>
    <row r="4" spans="1:4" x14ac:dyDescent="0.25">
      <c r="A4" s="26" t="s">
        <v>141</v>
      </c>
      <c r="B4" s="26" t="s">
        <v>67</v>
      </c>
      <c r="C4" s="26" t="s">
        <v>68</v>
      </c>
      <c r="D4" s="26" t="s">
        <v>69</v>
      </c>
    </row>
    <row r="5" spans="1:4" ht="20.399999999999999" customHeight="1" x14ac:dyDescent="0.25">
      <c r="A5" s="23" t="s">
        <v>142</v>
      </c>
      <c r="B5" s="23" t="s">
        <v>143</v>
      </c>
      <c r="C5" s="23" t="s">
        <v>72</v>
      </c>
      <c r="D5" s="27" t="s">
        <v>73</v>
      </c>
    </row>
    <row r="6" spans="1:4" ht="20.399999999999999" customHeight="1" x14ac:dyDescent="0.25">
      <c r="A6" s="23" t="s">
        <v>142</v>
      </c>
      <c r="B6" s="23" t="s">
        <v>143</v>
      </c>
      <c r="C6" s="23" t="s">
        <v>74</v>
      </c>
      <c r="D6" s="27" t="s">
        <v>75</v>
      </c>
    </row>
    <row r="7" spans="1:4" ht="20.399999999999999" customHeight="1" x14ac:dyDescent="0.25">
      <c r="A7" s="23" t="s">
        <v>142</v>
      </c>
      <c r="B7" s="23" t="s">
        <v>143</v>
      </c>
      <c r="C7" s="23" t="s">
        <v>144</v>
      </c>
      <c r="D7" s="27" t="s">
        <v>77</v>
      </c>
    </row>
    <row r="8" spans="1:4" ht="20.399999999999999" customHeight="1" x14ac:dyDescent="0.25">
      <c r="A8" s="23" t="s">
        <v>142</v>
      </c>
      <c r="B8" s="23" t="s">
        <v>143</v>
      </c>
      <c r="C8" s="23" t="s">
        <v>145</v>
      </c>
      <c r="D8" s="27" t="s">
        <v>146</v>
      </c>
    </row>
    <row r="9" spans="1:4" x14ac:dyDescent="0.25">
      <c r="A9" s="28"/>
      <c r="B9" s="28"/>
      <c r="C9" s="28"/>
      <c r="D9" s="28"/>
    </row>
    <row r="10" spans="1:4" ht="20.399999999999999" hidden="1" customHeight="1" x14ac:dyDescent="0.25">
      <c r="A10" s="23" t="s">
        <v>78</v>
      </c>
      <c r="B10" s="23" t="s">
        <v>79</v>
      </c>
      <c r="C10" s="23" t="s">
        <v>80</v>
      </c>
      <c r="D10" s="27" t="s">
        <v>81</v>
      </c>
    </row>
    <row r="11" spans="1:4" ht="30.6" customHeight="1" x14ac:dyDescent="0.25">
      <c r="A11" s="23" t="s">
        <v>147</v>
      </c>
      <c r="B11" s="23" t="s">
        <v>143</v>
      </c>
      <c r="C11" s="23" t="s">
        <v>148</v>
      </c>
      <c r="D11" s="27" t="s">
        <v>84</v>
      </c>
    </row>
    <row r="12" spans="1:4" x14ac:dyDescent="0.25">
      <c r="A12" s="28"/>
      <c r="B12" s="28"/>
      <c r="C12" s="28"/>
      <c r="D12" s="28"/>
    </row>
    <row r="13" spans="1:4" ht="20.399999999999999" customHeight="1" x14ac:dyDescent="0.25">
      <c r="A13" s="23" t="s">
        <v>149</v>
      </c>
      <c r="B13" s="23" t="s">
        <v>143</v>
      </c>
      <c r="C13" s="23" t="s">
        <v>150</v>
      </c>
      <c r="D13" s="27" t="s">
        <v>84</v>
      </c>
    </row>
    <row r="14" spans="1:4" ht="20.399999999999999" customHeight="1" x14ac:dyDescent="0.25">
      <c r="A14" s="23" t="s">
        <v>149</v>
      </c>
      <c r="B14" s="23" t="s">
        <v>143</v>
      </c>
      <c r="C14" s="23" t="s">
        <v>151</v>
      </c>
      <c r="D14" s="27" t="s">
        <v>87</v>
      </c>
    </row>
    <row r="15" spans="1:4" ht="40.799999999999997" customHeight="1" x14ac:dyDescent="0.25">
      <c r="A15" s="23" t="s">
        <v>149</v>
      </c>
      <c r="B15" s="23" t="s">
        <v>143</v>
      </c>
      <c r="C15" s="23" t="s">
        <v>152</v>
      </c>
      <c r="D15" s="27" t="s">
        <v>87</v>
      </c>
    </row>
    <row r="16" spans="1:4" ht="20.399999999999999" customHeight="1" x14ac:dyDescent="0.25">
      <c r="A16" s="23" t="s">
        <v>149</v>
      </c>
      <c r="B16" s="23" t="s">
        <v>143</v>
      </c>
      <c r="C16" s="24" t="s">
        <v>153</v>
      </c>
      <c r="D16" s="27" t="s">
        <v>91</v>
      </c>
    </row>
    <row r="17" spans="1:4" ht="20.399999999999999" customHeight="1" x14ac:dyDescent="0.25">
      <c r="A17" s="23" t="s">
        <v>149</v>
      </c>
      <c r="B17" s="23" t="s">
        <v>143</v>
      </c>
      <c r="C17" s="24" t="s">
        <v>154</v>
      </c>
      <c r="D17" s="27" t="s">
        <v>87</v>
      </c>
    </row>
    <row r="18" spans="1:4" x14ac:dyDescent="0.25">
      <c r="A18" s="28"/>
      <c r="B18" s="28"/>
      <c r="C18" s="29"/>
      <c r="D18" s="28"/>
    </row>
    <row r="19" spans="1:4" ht="20.399999999999999" customHeight="1" x14ac:dyDescent="0.25">
      <c r="A19" s="23" t="s">
        <v>155</v>
      </c>
      <c r="B19" s="23" t="s">
        <v>14</v>
      </c>
      <c r="C19" s="23" t="s">
        <v>156</v>
      </c>
    </row>
    <row r="20" spans="1:4" ht="30.6" customHeight="1" x14ac:dyDescent="0.25">
      <c r="A20" s="23" t="s">
        <v>155</v>
      </c>
      <c r="B20" s="23" t="s">
        <v>157</v>
      </c>
      <c r="C20" s="24" t="s">
        <v>96</v>
      </c>
      <c r="D20" s="27" t="s">
        <v>97</v>
      </c>
    </row>
    <row r="21" spans="1:4" ht="30.6" customHeight="1" x14ac:dyDescent="0.25">
      <c r="A21" s="23" t="s">
        <v>155</v>
      </c>
      <c r="B21" s="23" t="s">
        <v>157</v>
      </c>
      <c r="C21" s="24" t="s">
        <v>98</v>
      </c>
      <c r="D21" s="27" t="s">
        <v>99</v>
      </c>
    </row>
    <row r="22" spans="1:4" ht="30.6" customHeight="1" x14ac:dyDescent="0.25">
      <c r="A22" s="23" t="s">
        <v>155</v>
      </c>
      <c r="B22" s="23" t="s">
        <v>14</v>
      </c>
      <c r="C22" s="24" t="s">
        <v>100</v>
      </c>
      <c r="D22" s="27"/>
    </row>
    <row r="23" spans="1:4" x14ac:dyDescent="0.25">
      <c r="A23" s="28"/>
      <c r="B23" s="28"/>
      <c r="C23" s="29"/>
      <c r="D23" s="28"/>
    </row>
    <row r="24" spans="1:4" ht="20.399999999999999" customHeight="1" x14ac:dyDescent="0.25">
      <c r="A24" s="23" t="s">
        <v>158</v>
      </c>
      <c r="B24" s="23" t="s">
        <v>143</v>
      </c>
      <c r="C24" s="24" t="s">
        <v>159</v>
      </c>
      <c r="D24" s="27" t="s">
        <v>87</v>
      </c>
    </row>
    <row r="25" spans="1:4" ht="40.799999999999997" customHeight="1" x14ac:dyDescent="0.25">
      <c r="A25" s="23" t="s">
        <v>158</v>
      </c>
      <c r="B25" s="23" t="s">
        <v>143</v>
      </c>
      <c r="C25" s="24" t="s">
        <v>160</v>
      </c>
      <c r="D25" s="27" t="s">
        <v>84</v>
      </c>
    </row>
    <row r="26" spans="1:4" ht="40.799999999999997" customHeight="1" x14ac:dyDescent="0.25">
      <c r="A26" s="23" t="s">
        <v>158</v>
      </c>
      <c r="B26" s="23" t="s">
        <v>143</v>
      </c>
      <c r="C26" s="24" t="s">
        <v>161</v>
      </c>
      <c r="D26" s="27" t="s">
        <v>75</v>
      </c>
    </row>
    <row r="27" spans="1:4" ht="30.6" customHeight="1" x14ac:dyDescent="0.25">
      <c r="A27" s="23" t="s">
        <v>158</v>
      </c>
      <c r="B27" s="23" t="s">
        <v>103</v>
      </c>
      <c r="C27" s="24" t="s">
        <v>162</v>
      </c>
      <c r="D27" s="27" t="s">
        <v>87</v>
      </c>
    </row>
    <row r="28" spans="1:4" ht="20.399999999999999" customHeight="1" x14ac:dyDescent="0.25">
      <c r="A28" s="23" t="s">
        <v>158</v>
      </c>
      <c r="B28" s="23" t="s">
        <v>103</v>
      </c>
      <c r="C28" s="24" t="s">
        <v>105</v>
      </c>
      <c r="D28" s="27" t="s">
        <v>91</v>
      </c>
    </row>
    <row r="29" spans="1:4" ht="30.6" customHeight="1" x14ac:dyDescent="0.25">
      <c r="A29" s="23" t="s">
        <v>158</v>
      </c>
      <c r="B29" s="23" t="s">
        <v>103</v>
      </c>
      <c r="C29" s="24" t="s">
        <v>163</v>
      </c>
      <c r="D29" s="27"/>
    </row>
    <row r="30" spans="1:4" ht="40.799999999999997" customHeight="1" x14ac:dyDescent="0.25">
      <c r="A30" s="23" t="s">
        <v>158</v>
      </c>
      <c r="B30" s="23" t="s">
        <v>79</v>
      </c>
      <c r="C30" s="24" t="s">
        <v>106</v>
      </c>
      <c r="D30" s="27" t="s">
        <v>75</v>
      </c>
    </row>
    <row r="31" spans="1:4" ht="30.6" customHeight="1" x14ac:dyDescent="0.25">
      <c r="A31" s="23" t="s">
        <v>158</v>
      </c>
      <c r="B31" s="23" t="s">
        <v>107</v>
      </c>
      <c r="C31" s="24" t="s">
        <v>108</v>
      </c>
    </row>
    <row r="32" spans="1:4" x14ac:dyDescent="0.25">
      <c r="A32" s="28"/>
      <c r="B32" s="28"/>
      <c r="C32" s="29"/>
      <c r="D32" s="28"/>
    </row>
    <row r="33" spans="1:4" ht="20.399999999999999" customHeight="1" x14ac:dyDescent="0.25">
      <c r="A33" s="23" t="s">
        <v>164</v>
      </c>
      <c r="B33" s="23" t="s">
        <v>143</v>
      </c>
      <c r="C33" s="23" t="s">
        <v>165</v>
      </c>
      <c r="D33" s="27" t="s">
        <v>166</v>
      </c>
    </row>
    <row r="34" spans="1:4" ht="15.75" customHeight="1" x14ac:dyDescent="0.25">
      <c r="A34" s="284" t="s">
        <v>109</v>
      </c>
      <c r="B34" s="282"/>
      <c r="C34" s="283"/>
      <c r="D34" s="28"/>
    </row>
    <row r="35" spans="1:4" x14ac:dyDescent="0.25">
      <c r="A35" s="26" t="s">
        <v>141</v>
      </c>
      <c r="B35" s="26" t="s">
        <v>67</v>
      </c>
      <c r="C35" s="26" t="s">
        <v>68</v>
      </c>
      <c r="D35" s="26" t="s">
        <v>69</v>
      </c>
    </row>
    <row r="36" spans="1:4" ht="30.6" customHeight="1" x14ac:dyDescent="0.25">
      <c r="A36" s="23" t="s">
        <v>167</v>
      </c>
      <c r="B36" s="23" t="s">
        <v>107</v>
      </c>
      <c r="C36" s="24" t="s">
        <v>168</v>
      </c>
      <c r="D36" s="27" t="s">
        <v>112</v>
      </c>
    </row>
    <row r="37" spans="1:4" ht="30.6" customHeight="1" x14ac:dyDescent="0.25">
      <c r="A37" s="23" t="s">
        <v>167</v>
      </c>
      <c r="B37" s="23" t="s">
        <v>107</v>
      </c>
      <c r="C37" s="24" t="s">
        <v>169</v>
      </c>
      <c r="D37" s="27" t="s">
        <v>115</v>
      </c>
    </row>
    <row r="38" spans="1:4" ht="20.399999999999999" customHeight="1" x14ac:dyDescent="0.25">
      <c r="A38" s="23" t="s">
        <v>167</v>
      </c>
      <c r="B38" s="23" t="s">
        <v>107</v>
      </c>
      <c r="C38" s="24" t="s">
        <v>170</v>
      </c>
      <c r="D38" s="27" t="s">
        <v>166</v>
      </c>
    </row>
    <row r="39" spans="1:4" ht="20.399999999999999" customHeight="1" x14ac:dyDescent="0.25">
      <c r="A39" s="23" t="s">
        <v>167</v>
      </c>
      <c r="B39" s="23" t="s">
        <v>107</v>
      </c>
      <c r="C39" s="24" t="s">
        <v>171</v>
      </c>
      <c r="D39" s="27" t="s">
        <v>172</v>
      </c>
    </row>
    <row r="40" spans="1:4" x14ac:dyDescent="0.25">
      <c r="A40" s="28"/>
      <c r="B40" s="28"/>
      <c r="C40" s="29"/>
      <c r="D40" s="28"/>
    </row>
    <row r="41" spans="1:4" ht="20.399999999999999" customHeight="1" x14ac:dyDescent="0.25">
      <c r="A41" s="23" t="s">
        <v>116</v>
      </c>
      <c r="B41" s="23" t="s">
        <v>107</v>
      </c>
      <c r="C41" s="24" t="s">
        <v>173</v>
      </c>
      <c r="D41" s="27"/>
    </row>
    <row r="42" spans="1:4" ht="51" customHeight="1" x14ac:dyDescent="0.25">
      <c r="A42" s="23" t="s">
        <v>116</v>
      </c>
      <c r="B42" s="23" t="s">
        <v>107</v>
      </c>
      <c r="C42" s="24" t="s">
        <v>174</v>
      </c>
      <c r="D42" s="27" t="s">
        <v>87</v>
      </c>
    </row>
    <row r="43" spans="1:4" ht="20.399999999999999" customHeight="1" x14ac:dyDescent="0.25">
      <c r="A43" s="23" t="s">
        <v>116</v>
      </c>
      <c r="B43" s="23" t="s">
        <v>107</v>
      </c>
      <c r="C43" s="24" t="s">
        <v>117</v>
      </c>
      <c r="D43" s="27" t="s">
        <v>73</v>
      </c>
    </row>
    <row r="44" spans="1:4" x14ac:dyDescent="0.25">
      <c r="A44" s="23" t="s">
        <v>116</v>
      </c>
      <c r="B44" s="23" t="s">
        <v>107</v>
      </c>
      <c r="C44" s="24" t="s">
        <v>118</v>
      </c>
      <c r="D44" s="27" t="s">
        <v>87</v>
      </c>
    </row>
    <row r="45" spans="1:4" x14ac:dyDescent="0.25">
      <c r="A45" s="23" t="s">
        <v>116</v>
      </c>
      <c r="B45" s="23" t="s">
        <v>107</v>
      </c>
      <c r="C45" s="24" t="s">
        <v>119</v>
      </c>
      <c r="D45" s="27" t="s">
        <v>175</v>
      </c>
    </row>
    <row r="46" spans="1:4" ht="20.399999999999999" customHeight="1" x14ac:dyDescent="0.25">
      <c r="A46" s="23" t="s">
        <v>116</v>
      </c>
      <c r="B46" s="23" t="s">
        <v>107</v>
      </c>
      <c r="C46" s="24" t="s">
        <v>120</v>
      </c>
      <c r="D46" s="27" t="s">
        <v>121</v>
      </c>
    </row>
    <row r="47" spans="1:4" ht="20.399999999999999" customHeight="1" x14ac:dyDescent="0.25">
      <c r="A47" s="23" t="s">
        <v>116</v>
      </c>
      <c r="B47" s="23" t="s">
        <v>79</v>
      </c>
      <c r="C47" s="24" t="s">
        <v>176</v>
      </c>
      <c r="D47" s="27" t="s">
        <v>177</v>
      </c>
    </row>
    <row r="48" spans="1:4" ht="20.399999999999999" customHeight="1" x14ac:dyDescent="0.25">
      <c r="A48" s="23" t="s">
        <v>116</v>
      </c>
      <c r="B48" s="23" t="s">
        <v>107</v>
      </c>
      <c r="C48" s="24" t="s">
        <v>122</v>
      </c>
      <c r="D48" s="27"/>
    </row>
    <row r="49" spans="1:4" ht="20.399999999999999" customHeight="1" x14ac:dyDescent="0.25">
      <c r="A49" s="23" t="s">
        <v>116</v>
      </c>
      <c r="B49" s="23" t="s">
        <v>79</v>
      </c>
      <c r="C49" s="24" t="s">
        <v>123</v>
      </c>
      <c r="D49" s="27"/>
    </row>
    <row r="50" spans="1:4" ht="40.799999999999997" customHeight="1" x14ac:dyDescent="0.25">
      <c r="A50" s="23" t="s">
        <v>116</v>
      </c>
      <c r="B50" s="23" t="s">
        <v>79</v>
      </c>
      <c r="C50" s="24" t="s">
        <v>124</v>
      </c>
      <c r="D50" s="31" t="s">
        <v>178</v>
      </c>
    </row>
    <row r="51" spans="1:4" x14ac:dyDescent="0.25">
      <c r="A51" s="23" t="s">
        <v>116</v>
      </c>
      <c r="B51" s="23" t="s">
        <v>79</v>
      </c>
      <c r="C51" s="24" t="s">
        <v>118</v>
      </c>
      <c r="D51" s="27" t="s">
        <v>87</v>
      </c>
    </row>
    <row r="52" spans="1:4" x14ac:dyDescent="0.25">
      <c r="A52" s="23" t="s">
        <v>116</v>
      </c>
      <c r="B52" s="23" t="s">
        <v>79</v>
      </c>
      <c r="C52" s="24" t="s">
        <v>119</v>
      </c>
      <c r="D52" s="27" t="s">
        <v>175</v>
      </c>
    </row>
    <row r="53" spans="1:4" ht="20.399999999999999" customHeight="1" x14ac:dyDescent="0.25">
      <c r="A53" s="23" t="s">
        <v>116</v>
      </c>
      <c r="B53" s="23" t="s">
        <v>79</v>
      </c>
      <c r="C53" s="24" t="s">
        <v>120</v>
      </c>
      <c r="D53" s="27" t="s">
        <v>121</v>
      </c>
    </row>
    <row r="54" spans="1:4" ht="20.399999999999999" customHeight="1" x14ac:dyDescent="0.25">
      <c r="A54" s="23" t="s">
        <v>116</v>
      </c>
      <c r="B54" s="23" t="s">
        <v>79</v>
      </c>
      <c r="C54" s="24" t="s">
        <v>176</v>
      </c>
      <c r="D54" s="27" t="s">
        <v>177</v>
      </c>
    </row>
    <row r="55" spans="1:4" ht="40.799999999999997" customHeight="1" x14ac:dyDescent="0.25">
      <c r="A55" s="23" t="s">
        <v>116</v>
      </c>
      <c r="B55" s="23" t="s">
        <v>79</v>
      </c>
      <c r="C55" s="24" t="s">
        <v>127</v>
      </c>
      <c r="D55" s="27" t="s">
        <v>73</v>
      </c>
    </row>
    <row r="56" spans="1:4" ht="51" customHeight="1" x14ac:dyDescent="0.25">
      <c r="A56" s="23" t="s">
        <v>128</v>
      </c>
      <c r="B56" s="23" t="s">
        <v>79</v>
      </c>
      <c r="C56" s="24" t="s">
        <v>129</v>
      </c>
      <c r="D56" s="27" t="s">
        <v>73</v>
      </c>
    </row>
    <row r="57" spans="1:4" ht="15.75" customHeight="1" x14ac:dyDescent="0.25">
      <c r="A57" s="284" t="s">
        <v>179</v>
      </c>
      <c r="B57" s="282"/>
      <c r="C57" s="283"/>
      <c r="D57" s="28"/>
    </row>
    <row r="58" spans="1:4" x14ac:dyDescent="0.25">
      <c r="A58" s="26" t="s">
        <v>141</v>
      </c>
      <c r="B58" s="26" t="s">
        <v>67</v>
      </c>
      <c r="C58" s="26" t="s">
        <v>68</v>
      </c>
      <c r="D58" s="26" t="s">
        <v>69</v>
      </c>
    </row>
    <row r="59" spans="1:4" ht="20.399999999999999" customHeight="1" x14ac:dyDescent="0.25">
      <c r="A59" s="23" t="s">
        <v>131</v>
      </c>
      <c r="B59" s="23" t="s">
        <v>107</v>
      </c>
      <c r="C59" s="24" t="s">
        <v>132</v>
      </c>
      <c r="D59" s="30" t="s">
        <v>133</v>
      </c>
    </row>
    <row r="60" spans="1:4" ht="20.399999999999999" customHeight="1" x14ac:dyDescent="0.25">
      <c r="A60" s="23" t="s">
        <v>131</v>
      </c>
      <c r="B60" s="23" t="s">
        <v>107</v>
      </c>
      <c r="C60" s="24" t="s">
        <v>134</v>
      </c>
      <c r="D60" s="27" t="s">
        <v>73</v>
      </c>
    </row>
    <row r="61" spans="1:4" ht="20.399999999999999" customHeight="1" x14ac:dyDescent="0.25">
      <c r="A61" s="23" t="s">
        <v>131</v>
      </c>
      <c r="B61" s="23" t="s">
        <v>79</v>
      </c>
      <c r="C61" s="24" t="s">
        <v>132</v>
      </c>
      <c r="D61" s="30" t="s">
        <v>133</v>
      </c>
    </row>
    <row r="62" spans="1:4" ht="20.399999999999999" customHeight="1" x14ac:dyDescent="0.25">
      <c r="A62" s="23" t="s">
        <v>131</v>
      </c>
      <c r="B62" s="23" t="s">
        <v>79</v>
      </c>
      <c r="C62" s="24" t="s">
        <v>135</v>
      </c>
      <c r="D62" s="27" t="s">
        <v>136</v>
      </c>
    </row>
    <row r="63" spans="1:4" ht="20.399999999999999" customHeight="1" x14ac:dyDescent="0.25">
      <c r="A63" s="23" t="s">
        <v>131</v>
      </c>
      <c r="B63" s="23" t="s">
        <v>79</v>
      </c>
      <c r="C63" s="24" t="s">
        <v>137</v>
      </c>
      <c r="D63" s="27" t="s">
        <v>138</v>
      </c>
    </row>
    <row r="64" spans="1:4" x14ac:dyDescent="0.25">
      <c r="A64" s="23" t="s">
        <v>131</v>
      </c>
      <c r="B64" s="23" t="s">
        <v>79</v>
      </c>
      <c r="C64" s="24" t="s">
        <v>139</v>
      </c>
      <c r="D64" s="27" t="s">
        <v>84</v>
      </c>
    </row>
    <row r="65" spans="1:4" x14ac:dyDescent="0.25">
      <c r="A65" s="23" t="s">
        <v>131</v>
      </c>
      <c r="B65" s="23" t="s">
        <v>79</v>
      </c>
      <c r="C65" s="24" t="s">
        <v>180</v>
      </c>
      <c r="D65" s="27" t="s">
        <v>166</v>
      </c>
    </row>
    <row r="66" spans="1:4" ht="20.399999999999999" customHeight="1" x14ac:dyDescent="0.25">
      <c r="A66" s="23" t="s">
        <v>131</v>
      </c>
      <c r="B66" s="23" t="s">
        <v>79</v>
      </c>
      <c r="C66" s="24" t="s">
        <v>181</v>
      </c>
      <c r="D66" s="27" t="s">
        <v>73</v>
      </c>
    </row>
  </sheetData>
  <mergeCells count="5">
    <mergeCell ref="A1:D1"/>
    <mergeCell ref="A3:C3"/>
    <mergeCell ref="A34:C34"/>
    <mergeCell ref="A57:C57"/>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6"/>
  <sheetViews>
    <sheetView showGridLines="0" workbookViewId="0"/>
  </sheetViews>
  <sheetFormatPr baseColWidth="10" defaultColWidth="11.44140625" defaultRowHeight="13.2" x14ac:dyDescent="0.25"/>
  <cols>
    <col min="1" max="1" width="15.6640625" style="32" customWidth="1"/>
    <col min="2" max="2" width="50.6640625" style="32" customWidth="1"/>
    <col min="3" max="257" width="11.44140625" style="33" customWidth="1"/>
  </cols>
  <sheetData>
    <row r="1" spans="1:2" ht="45.6" customHeight="1" x14ac:dyDescent="0.25">
      <c r="A1" s="34" t="s">
        <v>182</v>
      </c>
      <c r="B1" s="34" t="s">
        <v>183</v>
      </c>
    </row>
    <row r="2" spans="1:2" ht="45.6" customHeight="1" x14ac:dyDescent="0.25">
      <c r="A2" s="34" t="s">
        <v>184</v>
      </c>
      <c r="B2" s="34" t="s">
        <v>185</v>
      </c>
    </row>
    <row r="3" spans="1:2" ht="45.6" customHeight="1" x14ac:dyDescent="0.25">
      <c r="A3" s="34" t="s">
        <v>186</v>
      </c>
      <c r="B3" s="34" t="s">
        <v>187</v>
      </c>
    </row>
    <row r="4" spans="1:2" ht="45.6" customHeight="1" x14ac:dyDescent="0.25">
      <c r="A4" s="34" t="s">
        <v>188</v>
      </c>
      <c r="B4" s="34" t="s">
        <v>189</v>
      </c>
    </row>
    <row r="5" spans="1:2" ht="57" customHeight="1" x14ac:dyDescent="0.25">
      <c r="A5" s="34" t="s">
        <v>190</v>
      </c>
      <c r="B5" s="34" t="s">
        <v>191</v>
      </c>
    </row>
    <row r="6" spans="1:2" ht="79.8" customHeight="1" x14ac:dyDescent="0.25">
      <c r="A6" s="34" t="s">
        <v>192</v>
      </c>
      <c r="B6" s="34" t="s">
        <v>193</v>
      </c>
    </row>
    <row r="7" spans="1:2" ht="34.200000000000003" customHeight="1" x14ac:dyDescent="0.25">
      <c r="A7" s="35" t="s">
        <v>194</v>
      </c>
      <c r="B7" s="34" t="s">
        <v>195</v>
      </c>
    </row>
    <row r="8" spans="1:2" x14ac:dyDescent="0.25">
      <c r="A8" s="36"/>
      <c r="B8" s="34" t="s">
        <v>196</v>
      </c>
    </row>
    <row r="9" spans="1:2" x14ac:dyDescent="0.25">
      <c r="A9" s="36"/>
      <c r="B9" s="34" t="s">
        <v>197</v>
      </c>
    </row>
    <row r="10" spans="1:2" x14ac:dyDescent="0.25">
      <c r="A10" s="36"/>
      <c r="B10" s="34" t="s">
        <v>198</v>
      </c>
    </row>
    <row r="11" spans="1:2" x14ac:dyDescent="0.25">
      <c r="A11" s="36"/>
      <c r="B11" s="34" t="s">
        <v>199</v>
      </c>
    </row>
    <row r="12" spans="1:2" x14ac:dyDescent="0.25">
      <c r="A12" s="36"/>
      <c r="B12" s="34" t="s">
        <v>200</v>
      </c>
    </row>
    <row r="13" spans="1:2" x14ac:dyDescent="0.25">
      <c r="A13" s="36"/>
      <c r="B13" s="34" t="s">
        <v>201</v>
      </c>
    </row>
    <row r="14" spans="1:2" x14ac:dyDescent="0.25">
      <c r="A14" s="36"/>
      <c r="B14" s="34" t="s">
        <v>202</v>
      </c>
    </row>
    <row r="15" spans="1:2" x14ac:dyDescent="0.25">
      <c r="A15" s="37"/>
      <c r="B15" s="34" t="s">
        <v>203</v>
      </c>
    </row>
    <row r="16" spans="1:2" ht="22.8" customHeight="1" x14ac:dyDescent="0.25">
      <c r="A16" s="34" t="s">
        <v>204</v>
      </c>
      <c r="B16" s="34" t="s">
        <v>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51"/>
  <sheetViews>
    <sheetView showGridLines="0" workbookViewId="0"/>
  </sheetViews>
  <sheetFormatPr baseColWidth="10" defaultColWidth="11.44140625" defaultRowHeight="13.2" x14ac:dyDescent="0.25"/>
  <cols>
    <col min="1" max="1" width="45.44140625" style="38" customWidth="1"/>
    <col min="2" max="2" width="8" style="39" customWidth="1"/>
    <col min="3" max="3" width="30.109375" style="38" customWidth="1"/>
    <col min="4" max="257" width="11.44140625" style="38" customWidth="1"/>
  </cols>
  <sheetData>
    <row r="1" spans="1:3" x14ac:dyDescent="0.25">
      <c r="A1" s="40" t="s">
        <v>206</v>
      </c>
      <c r="B1" s="41" t="s">
        <v>207</v>
      </c>
      <c r="C1" s="40" t="s">
        <v>208</v>
      </c>
    </row>
    <row r="2" spans="1:3" x14ac:dyDescent="0.25">
      <c r="A2" s="42" t="s">
        <v>209</v>
      </c>
      <c r="B2" s="43"/>
      <c r="C2" s="42"/>
    </row>
    <row r="3" spans="1:3" x14ac:dyDescent="0.25">
      <c r="A3" s="44" t="s">
        <v>210</v>
      </c>
      <c r="B3" s="45" t="s">
        <v>211</v>
      </c>
      <c r="C3" s="44"/>
    </row>
    <row r="4" spans="1:3" x14ac:dyDescent="0.25">
      <c r="A4" s="44" t="s">
        <v>212</v>
      </c>
      <c r="B4" s="45" t="s">
        <v>213</v>
      </c>
      <c r="C4" s="44"/>
    </row>
    <row r="5" spans="1:3" x14ac:dyDescent="0.25">
      <c r="A5" s="44" t="s">
        <v>214</v>
      </c>
      <c r="B5" s="45" t="s">
        <v>215</v>
      </c>
      <c r="C5" s="44"/>
    </row>
    <row r="6" spans="1:3" x14ac:dyDescent="0.25">
      <c r="A6" s="46" t="s">
        <v>216</v>
      </c>
      <c r="B6" s="47" t="s">
        <v>217</v>
      </c>
      <c r="C6" s="46"/>
    </row>
    <row r="7" spans="1:3" x14ac:dyDescent="0.25">
      <c r="A7" s="42" t="s">
        <v>218</v>
      </c>
      <c r="B7" s="43"/>
      <c r="C7" s="42"/>
    </row>
    <row r="8" spans="1:3" x14ac:dyDescent="0.25">
      <c r="A8" s="44" t="s">
        <v>219</v>
      </c>
      <c r="B8" s="45" t="s">
        <v>220</v>
      </c>
      <c r="C8" s="44" t="s">
        <v>221</v>
      </c>
    </row>
    <row r="9" spans="1:3" x14ac:dyDescent="0.25">
      <c r="A9" s="44" t="s">
        <v>210</v>
      </c>
      <c r="B9" s="45" t="s">
        <v>222</v>
      </c>
      <c r="C9" s="44" t="s">
        <v>223</v>
      </c>
    </row>
    <row r="10" spans="1:3" x14ac:dyDescent="0.25">
      <c r="A10" s="44" t="s">
        <v>212</v>
      </c>
      <c r="B10" s="45" t="s">
        <v>224</v>
      </c>
      <c r="C10" s="44" t="s">
        <v>225</v>
      </c>
    </row>
    <row r="11" spans="1:3" x14ac:dyDescent="0.25">
      <c r="A11" s="44" t="s">
        <v>214</v>
      </c>
      <c r="B11" s="45" t="s">
        <v>226</v>
      </c>
      <c r="C11" s="44" t="s">
        <v>225</v>
      </c>
    </row>
    <row r="12" spans="1:3" x14ac:dyDescent="0.25">
      <c r="A12" s="46" t="s">
        <v>216</v>
      </c>
      <c r="B12" s="47" t="s">
        <v>227</v>
      </c>
      <c r="C12" s="46" t="s">
        <v>225</v>
      </c>
    </row>
    <row r="13" spans="1:3" x14ac:dyDescent="0.25">
      <c r="A13" s="42" t="s">
        <v>228</v>
      </c>
      <c r="B13" s="43"/>
      <c r="C13" s="42"/>
    </row>
    <row r="14" spans="1:3" x14ac:dyDescent="0.25">
      <c r="A14" s="44" t="s">
        <v>229</v>
      </c>
      <c r="B14" s="45" t="s">
        <v>230</v>
      </c>
      <c r="C14" s="44" t="s">
        <v>225</v>
      </c>
    </row>
    <row r="15" spans="1:3" x14ac:dyDescent="0.25">
      <c r="A15" s="46" t="s">
        <v>231</v>
      </c>
      <c r="B15" s="47" t="s">
        <v>230</v>
      </c>
      <c r="C15" s="46" t="s">
        <v>225</v>
      </c>
    </row>
    <row r="16" spans="1:3" x14ac:dyDescent="0.25">
      <c r="A16" s="42" t="s">
        <v>232</v>
      </c>
      <c r="B16" s="43"/>
      <c r="C16" s="42"/>
    </row>
    <row r="17" spans="1:3" x14ac:dyDescent="0.25">
      <c r="A17" s="44" t="s">
        <v>233</v>
      </c>
      <c r="B17" s="45" t="s">
        <v>234</v>
      </c>
      <c r="C17" s="44" t="s">
        <v>235</v>
      </c>
    </row>
    <row r="18" spans="1:3" x14ac:dyDescent="0.25">
      <c r="A18" s="44" t="s">
        <v>236</v>
      </c>
      <c r="B18" s="45" t="s">
        <v>237</v>
      </c>
      <c r="C18" s="44" t="s">
        <v>238</v>
      </c>
    </row>
    <row r="19" spans="1:3" x14ac:dyDescent="0.25">
      <c r="A19" s="44" t="s">
        <v>239</v>
      </c>
      <c r="B19" s="45" t="s">
        <v>240</v>
      </c>
      <c r="C19" s="44"/>
    </row>
    <row r="20" spans="1:3" x14ac:dyDescent="0.25">
      <c r="A20" s="44" t="s">
        <v>241</v>
      </c>
      <c r="B20" s="45" t="s">
        <v>237</v>
      </c>
      <c r="C20" s="44"/>
    </row>
    <row r="21" spans="1:3" x14ac:dyDescent="0.25">
      <c r="A21" s="46" t="s">
        <v>242</v>
      </c>
      <c r="B21" s="47" t="s">
        <v>237</v>
      </c>
      <c r="C21" s="46"/>
    </row>
    <row r="22" spans="1:3" x14ac:dyDescent="0.25">
      <c r="A22" s="42" t="s">
        <v>243</v>
      </c>
      <c r="B22" s="43"/>
      <c r="C22" s="42"/>
    </row>
    <row r="23" spans="1:3" x14ac:dyDescent="0.25">
      <c r="A23" s="44" t="s">
        <v>244</v>
      </c>
      <c r="B23" s="45" t="s">
        <v>245</v>
      </c>
      <c r="C23" s="44" t="s">
        <v>246</v>
      </c>
    </row>
    <row r="24" spans="1:3" x14ac:dyDescent="0.25">
      <c r="A24" s="44" t="s">
        <v>247</v>
      </c>
      <c r="B24" s="45" t="s">
        <v>224</v>
      </c>
      <c r="C24" s="44" t="s">
        <v>248</v>
      </c>
    </row>
    <row r="25" spans="1:3" x14ac:dyDescent="0.25">
      <c r="A25" s="44" t="s">
        <v>249</v>
      </c>
      <c r="B25" s="45" t="s">
        <v>250</v>
      </c>
      <c r="C25" s="44" t="s">
        <v>251</v>
      </c>
    </row>
    <row r="26" spans="1:3" x14ac:dyDescent="0.25">
      <c r="A26" s="46" t="s">
        <v>252</v>
      </c>
      <c r="B26" s="47" t="s">
        <v>253</v>
      </c>
      <c r="C26" s="46" t="s">
        <v>254</v>
      </c>
    </row>
    <row r="27" spans="1:3" x14ac:dyDescent="0.25">
      <c r="A27" s="42" t="s">
        <v>255</v>
      </c>
      <c r="B27" s="43"/>
      <c r="C27" s="42"/>
    </row>
    <row r="28" spans="1:3" x14ac:dyDescent="0.25">
      <c r="A28" s="44" t="s">
        <v>256</v>
      </c>
      <c r="B28" s="45">
        <v>0.25</v>
      </c>
      <c r="C28" s="44" t="s">
        <v>257</v>
      </c>
    </row>
    <row r="29" spans="1:3" x14ac:dyDescent="0.25">
      <c r="A29" s="44" t="s">
        <v>258</v>
      </c>
      <c r="B29" s="45">
        <v>0.5</v>
      </c>
      <c r="C29" s="44" t="s">
        <v>257</v>
      </c>
    </row>
    <row r="30" spans="1:3" x14ac:dyDescent="0.25">
      <c r="A30" s="44" t="s">
        <v>259</v>
      </c>
      <c r="B30" s="45">
        <v>0.25</v>
      </c>
      <c r="C30" s="44" t="s">
        <v>260</v>
      </c>
    </row>
    <row r="31" spans="1:3" x14ac:dyDescent="0.25">
      <c r="A31" s="44" t="s">
        <v>261</v>
      </c>
      <c r="B31" s="45">
        <v>0.5</v>
      </c>
      <c r="C31" s="44" t="s">
        <v>260</v>
      </c>
    </row>
    <row r="32" spans="1:3" x14ac:dyDescent="0.25">
      <c r="A32" s="44" t="s">
        <v>262</v>
      </c>
      <c r="B32" s="45">
        <v>0.75</v>
      </c>
      <c r="C32" s="44" t="s">
        <v>263</v>
      </c>
    </row>
    <row r="33" spans="1:3" x14ac:dyDescent="0.25">
      <c r="A33" s="44" t="s">
        <v>264</v>
      </c>
      <c r="B33" s="45">
        <v>1.5</v>
      </c>
      <c r="C33" s="44" t="s">
        <v>263</v>
      </c>
    </row>
    <row r="34" spans="1:3" x14ac:dyDescent="0.25">
      <c r="A34" s="44" t="s">
        <v>265</v>
      </c>
      <c r="B34" s="45">
        <v>0.5</v>
      </c>
      <c r="C34" s="44" t="s">
        <v>263</v>
      </c>
    </row>
    <row r="35" spans="1:3" x14ac:dyDescent="0.25">
      <c r="A35" s="44" t="s">
        <v>266</v>
      </c>
      <c r="B35" s="45">
        <v>2</v>
      </c>
      <c r="C35" s="44" t="s">
        <v>223</v>
      </c>
    </row>
    <row r="36" spans="1:3" x14ac:dyDescent="0.25">
      <c r="A36" s="44" t="s">
        <v>267</v>
      </c>
      <c r="B36" s="45">
        <v>4</v>
      </c>
      <c r="C36" s="44" t="s">
        <v>268</v>
      </c>
    </row>
    <row r="37" spans="1:3" x14ac:dyDescent="0.25">
      <c r="A37" s="44" t="s">
        <v>269</v>
      </c>
      <c r="B37" s="45">
        <v>0.3</v>
      </c>
      <c r="C37" s="44" t="s">
        <v>270</v>
      </c>
    </row>
    <row r="38" spans="1:3" x14ac:dyDescent="0.25">
      <c r="A38" s="44" t="s">
        <v>271</v>
      </c>
      <c r="B38" s="45">
        <v>1</v>
      </c>
      <c r="C38" s="44" t="s">
        <v>268</v>
      </c>
    </row>
    <row r="39" spans="1:3" x14ac:dyDescent="0.25">
      <c r="A39" s="46" t="s">
        <v>272</v>
      </c>
      <c r="B39" s="47">
        <v>6.7000000000000004E-2</v>
      </c>
      <c r="C39" s="46" t="s">
        <v>270</v>
      </c>
    </row>
    <row r="40" spans="1:3" x14ac:dyDescent="0.25">
      <c r="A40" s="42" t="s">
        <v>273</v>
      </c>
      <c r="B40" s="43"/>
      <c r="C40" s="42"/>
    </row>
    <row r="41" spans="1:3" x14ac:dyDescent="0.25">
      <c r="A41" s="44" t="s">
        <v>274</v>
      </c>
      <c r="B41" s="45" t="s">
        <v>275</v>
      </c>
      <c r="C41" s="44" t="s">
        <v>276</v>
      </c>
    </row>
    <row r="42" spans="1:3" x14ac:dyDescent="0.25">
      <c r="A42" s="44" t="s">
        <v>277</v>
      </c>
      <c r="B42" s="45" t="s">
        <v>275</v>
      </c>
      <c r="C42" s="44" t="s">
        <v>278</v>
      </c>
    </row>
    <row r="43" spans="1:3" x14ac:dyDescent="0.25">
      <c r="A43" s="44" t="s">
        <v>279</v>
      </c>
      <c r="B43" s="45" t="s">
        <v>275</v>
      </c>
      <c r="C43" s="44" t="s">
        <v>280</v>
      </c>
    </row>
    <row r="44" spans="1:3" x14ac:dyDescent="0.25">
      <c r="A44" s="44" t="s">
        <v>281</v>
      </c>
      <c r="B44" s="45" t="s">
        <v>282</v>
      </c>
      <c r="C44" s="44" t="s">
        <v>283</v>
      </c>
    </row>
    <row r="45" spans="1:3" x14ac:dyDescent="0.25">
      <c r="A45" s="44" t="s">
        <v>284</v>
      </c>
      <c r="B45" s="45" t="s">
        <v>285</v>
      </c>
      <c r="C45" s="44" t="s">
        <v>286</v>
      </c>
    </row>
    <row r="46" spans="1:3" x14ac:dyDescent="0.25">
      <c r="A46" s="44" t="s">
        <v>287</v>
      </c>
      <c r="B46" s="45" t="s">
        <v>288</v>
      </c>
      <c r="C46" s="44" t="s">
        <v>289</v>
      </c>
    </row>
    <row r="47" spans="1:3" x14ac:dyDescent="0.25">
      <c r="A47" s="44" t="s">
        <v>290</v>
      </c>
      <c r="B47" s="45" t="s">
        <v>291</v>
      </c>
      <c r="C47" s="44" t="s">
        <v>292</v>
      </c>
    </row>
    <row r="48" spans="1:3" x14ac:dyDescent="0.25">
      <c r="A48" s="44" t="s">
        <v>293</v>
      </c>
      <c r="B48" s="45" t="s">
        <v>294</v>
      </c>
      <c r="C48" s="44" t="s">
        <v>295</v>
      </c>
    </row>
    <row r="49" spans="1:3" x14ac:dyDescent="0.25">
      <c r="A49" s="44" t="s">
        <v>296</v>
      </c>
      <c r="B49" s="45" t="s">
        <v>297</v>
      </c>
      <c r="C49" s="44" t="s">
        <v>298</v>
      </c>
    </row>
    <row r="50" spans="1:3" x14ac:dyDescent="0.25">
      <c r="A50" s="44" t="s">
        <v>299</v>
      </c>
      <c r="B50" s="45" t="s">
        <v>300</v>
      </c>
      <c r="C50" s="44" t="s">
        <v>301</v>
      </c>
    </row>
    <row r="51" spans="1:3" x14ac:dyDescent="0.25">
      <c r="A51" s="46" t="s">
        <v>302</v>
      </c>
      <c r="B51" s="47" t="s">
        <v>303</v>
      </c>
      <c r="C51" s="46" t="s">
        <v>301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38"/>
  <sheetViews>
    <sheetView showGridLines="0" workbookViewId="0"/>
  </sheetViews>
  <sheetFormatPr baseColWidth="10" defaultColWidth="11.44140625" defaultRowHeight="13.2" x14ac:dyDescent="0.25"/>
  <cols>
    <col min="1" max="1" width="8.6640625" style="2" customWidth="1"/>
    <col min="2" max="2" width="36.33203125" style="2" customWidth="1"/>
    <col min="3" max="5" width="12.6640625" style="2" customWidth="1"/>
    <col min="6" max="6" width="6.6640625" style="2" customWidth="1"/>
    <col min="7" max="7" width="18.6640625" style="2" customWidth="1"/>
    <col min="8" max="8" width="3" style="2" customWidth="1"/>
    <col min="9" max="9" width="11.44140625" style="48" customWidth="1"/>
    <col min="10" max="257" width="11.44140625" style="2" customWidth="1"/>
  </cols>
  <sheetData>
    <row r="1" spans="1:32" x14ac:dyDescent="0.25">
      <c r="A1" s="49" t="s">
        <v>304</v>
      </c>
      <c r="B1" s="50" t="s">
        <v>305</v>
      </c>
      <c r="F1" s="50"/>
      <c r="G1" s="50"/>
      <c r="H1" s="50"/>
      <c r="I1" s="51"/>
      <c r="AB1" s="2" t="s">
        <v>306</v>
      </c>
      <c r="AC1" s="52" t="s">
        <v>307</v>
      </c>
      <c r="AE1" s="50" t="s">
        <v>308</v>
      </c>
      <c r="AF1" s="50" t="s">
        <v>309</v>
      </c>
    </row>
    <row r="2" spans="1:32" x14ac:dyDescent="0.25">
      <c r="A2" s="53"/>
      <c r="E2" s="50"/>
      <c r="F2" s="50"/>
      <c r="G2" s="50"/>
      <c r="I2" s="51"/>
      <c r="AA2" s="2" t="s">
        <v>310</v>
      </c>
      <c r="AB2" s="2">
        <v>0</v>
      </c>
      <c r="AC2" s="2">
        <v>0</v>
      </c>
      <c r="AE2" s="2" t="s">
        <v>311</v>
      </c>
    </row>
    <row r="3" spans="1:32" ht="15" customHeight="1" x14ac:dyDescent="0.25">
      <c r="A3" s="54" t="s">
        <v>312</v>
      </c>
      <c r="B3" s="55" t="s">
        <v>313</v>
      </c>
      <c r="C3" s="54" t="s">
        <v>314</v>
      </c>
      <c r="D3" s="256">
        <v>46196</v>
      </c>
      <c r="E3" s="50"/>
      <c r="F3" s="50"/>
      <c r="G3" s="50"/>
      <c r="H3" s="56"/>
      <c r="AA3" s="2" t="s">
        <v>315</v>
      </c>
      <c r="AB3" s="2">
        <v>0</v>
      </c>
      <c r="AC3" s="2">
        <v>0</v>
      </c>
      <c r="AE3" s="2" t="s">
        <v>316</v>
      </c>
    </row>
    <row r="4" spans="1:32" ht="15" customHeight="1" x14ac:dyDescent="0.25">
      <c r="A4" s="54" t="s">
        <v>10</v>
      </c>
      <c r="B4" s="57" t="s">
        <v>317</v>
      </c>
      <c r="C4" s="54" t="s">
        <v>318</v>
      </c>
      <c r="D4" s="257">
        <v>46155</v>
      </c>
      <c r="E4" s="50"/>
      <c r="F4" s="50"/>
      <c r="G4" s="50"/>
      <c r="AA4" s="2" t="s">
        <v>319</v>
      </c>
      <c r="AB4" s="2">
        <v>1</v>
      </c>
      <c r="AC4" s="2">
        <v>1</v>
      </c>
      <c r="AE4" s="2" t="s">
        <v>320</v>
      </c>
    </row>
    <row r="5" spans="1:32" ht="15" customHeight="1" x14ac:dyDescent="0.25">
      <c r="A5" s="54" t="s">
        <v>14</v>
      </c>
      <c r="B5" s="9" t="s">
        <v>321</v>
      </c>
      <c r="C5" s="54" t="s">
        <v>322</v>
      </c>
      <c r="D5" s="9" t="s">
        <v>323</v>
      </c>
      <c r="E5" s="58">
        <v>4</v>
      </c>
      <c r="F5" s="59">
        <v>8</v>
      </c>
      <c r="G5" s="50"/>
      <c r="H5" s="56"/>
      <c r="AA5" s="2" t="s">
        <v>324</v>
      </c>
      <c r="AB5" s="2">
        <v>1</v>
      </c>
      <c r="AC5" s="2">
        <v>1</v>
      </c>
      <c r="AE5" s="2" t="s">
        <v>186</v>
      </c>
    </row>
    <row r="6" spans="1:32" ht="15" customHeight="1" x14ac:dyDescent="0.25">
      <c r="A6" s="54" t="s">
        <v>325</v>
      </c>
      <c r="C6" s="54" t="s">
        <v>326</v>
      </c>
      <c r="D6" s="55"/>
      <c r="E6" s="50"/>
      <c r="F6" s="50"/>
      <c r="G6" s="50"/>
      <c r="AA6" s="2" t="s">
        <v>327</v>
      </c>
      <c r="AB6" s="2">
        <v>0</v>
      </c>
      <c r="AC6" s="2">
        <v>0</v>
      </c>
      <c r="AE6" s="2" t="s">
        <v>328</v>
      </c>
    </row>
    <row r="7" spans="1:32" ht="21" customHeight="1" x14ac:dyDescent="0.25">
      <c r="A7" s="60" t="s">
        <v>329</v>
      </c>
      <c r="B7" s="61" t="s">
        <v>330</v>
      </c>
      <c r="C7" s="62" t="s">
        <v>331</v>
      </c>
      <c r="D7" s="63"/>
      <c r="E7" s="50"/>
      <c r="F7" s="50"/>
      <c r="G7" s="50"/>
      <c r="AA7" s="2" t="s">
        <v>332</v>
      </c>
      <c r="AB7" s="2">
        <v>3.4722222222222201</v>
      </c>
      <c r="AE7" s="2" t="s">
        <v>333</v>
      </c>
    </row>
    <row r="8" spans="1:32" ht="15" customHeight="1" x14ac:dyDescent="0.25">
      <c r="E8" s="50"/>
      <c r="F8" s="50"/>
      <c r="G8" s="50"/>
      <c r="I8" s="64"/>
      <c r="AA8" s="2" t="s">
        <v>334</v>
      </c>
      <c r="AB8" s="2">
        <v>2.7777777777777799</v>
      </c>
      <c r="AE8" s="2" t="s">
        <v>190</v>
      </c>
    </row>
    <row r="9" spans="1:32" ht="15" customHeight="1" x14ac:dyDescent="0.25">
      <c r="E9" s="50"/>
      <c r="F9" s="50"/>
      <c r="G9" s="50"/>
      <c r="I9" s="64"/>
      <c r="AA9" s="2" t="s">
        <v>335</v>
      </c>
      <c r="AB9" s="2">
        <v>2.0833333333333299</v>
      </c>
      <c r="AE9" s="2" t="s">
        <v>336</v>
      </c>
    </row>
    <row r="10" spans="1:32" x14ac:dyDescent="0.25">
      <c r="A10" s="56"/>
      <c r="E10" s="50"/>
      <c r="F10" s="50"/>
      <c r="G10" s="50"/>
      <c r="AA10" s="2" t="s">
        <v>337</v>
      </c>
      <c r="AB10" s="2">
        <v>0</v>
      </c>
      <c r="AE10" s="2" t="s">
        <v>338</v>
      </c>
    </row>
    <row r="11" spans="1:32" x14ac:dyDescent="0.25">
      <c r="A11" s="56"/>
      <c r="AA11" s="2" t="s">
        <v>339</v>
      </c>
      <c r="AB11" s="2">
        <v>0</v>
      </c>
      <c r="AE11" s="2" t="s">
        <v>340</v>
      </c>
    </row>
    <row r="12" spans="1:32" x14ac:dyDescent="0.25">
      <c r="AA12" s="2" t="s">
        <v>341</v>
      </c>
      <c r="AB12" s="2">
        <v>0</v>
      </c>
      <c r="AE12" s="2" t="s">
        <v>342</v>
      </c>
    </row>
    <row r="13" spans="1:32" x14ac:dyDescent="0.25">
      <c r="AA13" s="2" t="s">
        <v>343</v>
      </c>
      <c r="AB13" s="2">
        <v>0</v>
      </c>
      <c r="AE13" s="2" t="s">
        <v>344</v>
      </c>
    </row>
    <row r="14" spans="1:32" x14ac:dyDescent="0.25">
      <c r="AA14" s="2" t="s">
        <v>345</v>
      </c>
      <c r="AB14" s="2">
        <f>AB2*AB3*AB4*AB5*AB6</f>
        <v>0</v>
      </c>
      <c r="AC14" s="2">
        <f>AC2*AC3*AC4*AC5*AC6</f>
        <v>0</v>
      </c>
      <c r="AE14" s="2" t="s">
        <v>346</v>
      </c>
    </row>
    <row r="15" spans="1:32" x14ac:dyDescent="0.25">
      <c r="AE15" s="2" t="s">
        <v>347</v>
      </c>
    </row>
    <row r="16" spans="1:32" x14ac:dyDescent="0.25">
      <c r="AE16" s="2" t="s">
        <v>348</v>
      </c>
    </row>
    <row r="17" spans="31:31" x14ac:dyDescent="0.25">
      <c r="AE17" s="2" t="s">
        <v>349</v>
      </c>
    </row>
    <row r="18" spans="31:31" x14ac:dyDescent="0.25">
      <c r="AE18" s="2" t="s">
        <v>350</v>
      </c>
    </row>
    <row r="19" spans="31:31" x14ac:dyDescent="0.25">
      <c r="AE19" s="2" t="s">
        <v>351</v>
      </c>
    </row>
    <row r="20" spans="31:31" x14ac:dyDescent="0.25">
      <c r="AE20" s="2" t="s">
        <v>352</v>
      </c>
    </row>
    <row r="21" spans="31:31" x14ac:dyDescent="0.25">
      <c r="AE21" s="2" t="s">
        <v>353</v>
      </c>
    </row>
    <row r="22" spans="31:31" x14ac:dyDescent="0.25">
      <c r="AE22" s="2" t="s">
        <v>354</v>
      </c>
    </row>
    <row r="23" spans="31:31" x14ac:dyDescent="0.25">
      <c r="AE23" s="2" t="s">
        <v>355</v>
      </c>
    </row>
    <row r="35" spans="2:3" x14ac:dyDescent="0.25">
      <c r="C35" s="54"/>
    </row>
    <row r="38" spans="2:3" x14ac:dyDescent="0.25">
      <c r="B38" s="18"/>
    </row>
  </sheetData>
  <dataValidations count="7">
    <dataValidation allowBlank="1" showInputMessage="1" showErrorMessage="1" promptTitle="Name" prompt="Enter your name." sqref="A3" xr:uid="{00000000-0002-0000-0500-000000000000}">
      <formula1>0</formula1>
      <formula2>0</formula2>
    </dataValidation>
    <dataValidation allowBlank="1" showInputMessage="1" showErrorMessage="1" promptTitle="Project Name" prompt="Enter the project name." sqref="A4" xr:uid="{00000000-0002-0000-0500-000001000000}">
      <formula1>0</formula1>
      <formula2>0</formula2>
    </dataValidation>
    <dataValidation allowBlank="1" showInputMessage="1" showErrorMessage="1" promptTitle="Team Name" prompt="Enter the team name." sqref="A5" xr:uid="{00000000-0002-0000-0500-000002000000}">
      <formula1>0</formula1>
      <formula2>0</formula2>
    </dataValidation>
    <dataValidation allowBlank="1" showInputMessage="1" showErrorMessage="1" promptTitle="Assembly" prompt="Select SYSTEM or the assembly to view." sqref="A6" xr:uid="{00000000-0002-0000-0500-000003000000}">
      <formula1>0</formula1>
      <formula2>0</formula2>
    </dataValidation>
    <dataValidation allowBlank="1" showInputMessage="1" showErrorMessage="1" promptTitle="Project Start Date" prompt="Enter the Monday date of the week the project starts. The Start Date must be less than or equal to field Date. Use Today's Date Override to plan a project that starts in the future." sqref="C4" xr:uid="{00000000-0002-0000-0500-000004000000}">
      <formula1>0</formula1>
      <formula2>0</formula2>
    </dataValidation>
    <dataValidation allowBlank="1" showInputMessage="1" showErrorMessage="1" promptTitle="Date Override" prompt="This field overrides today's date, normally the system date. The override date must be set to a value that is greater than or equal to the project start date." sqref="C7" xr:uid="{00000000-0002-0000-0500-000005000000}">
      <formula1>0</formula1>
      <formula2>0</formula2>
    </dataValidation>
    <dataValidation allowBlank="1" showInputMessage="1" showErrorMessage="1" promptTitle="Weeks" prompt="The weeks to display for earned value and hours per week charts. Enter a number or use the spinner control to select a number from 4 to max. schedule weeks." sqref="E5" xr:uid="{00000000-0002-0000-0500-000006000000}">
      <formula1>0</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22"/>
  <sheetViews>
    <sheetView workbookViewId="0"/>
  </sheetViews>
  <sheetFormatPr baseColWidth="10" defaultColWidth="11.44140625" defaultRowHeight="13.2" x14ac:dyDescent="0.25"/>
  <cols>
    <col min="1" max="1" width="3.6640625" style="2" customWidth="1"/>
    <col min="2" max="2" width="23.6640625" style="2" customWidth="1"/>
    <col min="3" max="3" width="5.6640625" style="2" customWidth="1"/>
    <col min="4" max="4" width="12.6640625" style="2" customWidth="1"/>
    <col min="5" max="5" width="24.6640625" style="2" customWidth="1"/>
    <col min="6" max="6" width="27.6640625" style="2" customWidth="1"/>
    <col min="7" max="7" width="6.33203125" style="2" customWidth="1"/>
    <col min="8" max="8" width="7.6640625" style="2" customWidth="1"/>
    <col min="9" max="9" width="8.33203125" style="2" customWidth="1"/>
    <col min="10" max="10" width="1.6640625" style="2" customWidth="1"/>
    <col min="11" max="257" width="11.44140625" style="2" customWidth="1"/>
  </cols>
  <sheetData>
    <row r="1" spans="1:9" ht="31.2" customHeight="1" x14ac:dyDescent="0.25">
      <c r="A1" s="65" t="s">
        <v>356</v>
      </c>
      <c r="B1" s="65" t="s">
        <v>312</v>
      </c>
      <c r="C1" s="65" t="s">
        <v>357</v>
      </c>
      <c r="D1" s="65" t="s">
        <v>358</v>
      </c>
      <c r="E1" s="65" t="s">
        <v>359</v>
      </c>
      <c r="F1" s="65" t="s">
        <v>360</v>
      </c>
      <c r="G1" s="66" t="s">
        <v>361</v>
      </c>
      <c r="H1" s="66" t="s">
        <v>362</v>
      </c>
      <c r="I1" s="66" t="s">
        <v>363</v>
      </c>
    </row>
    <row r="2" spans="1:9" x14ac:dyDescent="0.25">
      <c r="A2" s="67">
        <v>1</v>
      </c>
      <c r="B2" s="13" t="s">
        <v>364</v>
      </c>
      <c r="C2" s="13" t="s">
        <v>365</v>
      </c>
      <c r="D2" s="13">
        <v>3104448568</v>
      </c>
      <c r="E2" s="13" t="s">
        <v>366</v>
      </c>
      <c r="F2" s="13" t="s">
        <v>365</v>
      </c>
      <c r="G2" s="68">
        <v>5</v>
      </c>
      <c r="H2" s="68">
        <v>9.1999999999999993</v>
      </c>
      <c r="I2" s="68">
        <v>4</v>
      </c>
    </row>
    <row r="3" spans="1:9" x14ac:dyDescent="0.25">
      <c r="A3" s="67">
        <v>2</v>
      </c>
      <c r="B3" s="13" t="s">
        <v>367</v>
      </c>
      <c r="C3" s="13" t="s">
        <v>368</v>
      </c>
      <c r="D3" s="13">
        <v>3155197502</v>
      </c>
      <c r="E3" s="13" t="s">
        <v>369</v>
      </c>
      <c r="F3" s="13" t="s">
        <v>368</v>
      </c>
      <c r="G3" s="68">
        <v>5</v>
      </c>
      <c r="H3" s="68">
        <v>23.2</v>
      </c>
      <c r="I3" s="68">
        <v>4</v>
      </c>
    </row>
    <row r="4" spans="1:9" x14ac:dyDescent="0.25">
      <c r="A4" s="67">
        <v>3</v>
      </c>
      <c r="B4" s="13" t="s">
        <v>370</v>
      </c>
      <c r="C4" s="13" t="s">
        <v>371</v>
      </c>
      <c r="D4" s="13">
        <v>3239390438</v>
      </c>
      <c r="E4" s="13" t="s">
        <v>372</v>
      </c>
      <c r="F4" s="13" t="s">
        <v>371</v>
      </c>
      <c r="G4" s="68">
        <v>7</v>
      </c>
      <c r="H4" s="68">
        <v>33.200000000000003</v>
      </c>
      <c r="I4" s="68">
        <v>4</v>
      </c>
    </row>
    <row r="5" spans="1:9" x14ac:dyDescent="0.25">
      <c r="A5" s="67">
        <v>4</v>
      </c>
      <c r="B5" s="13" t="s">
        <v>373</v>
      </c>
      <c r="C5" s="13" t="s">
        <v>374</v>
      </c>
      <c r="D5" s="13">
        <v>3156285835</v>
      </c>
      <c r="E5" s="13" t="s">
        <v>375</v>
      </c>
      <c r="F5" s="13" t="s">
        <v>374</v>
      </c>
      <c r="G5" s="68">
        <v>4</v>
      </c>
      <c r="H5" s="68">
        <v>16.8</v>
      </c>
      <c r="I5" s="68">
        <v>4</v>
      </c>
    </row>
    <row r="6" spans="1:9" x14ac:dyDescent="0.25">
      <c r="A6" s="67">
        <v>5</v>
      </c>
      <c r="B6" s="13" t="s">
        <v>376</v>
      </c>
      <c r="C6" s="13" t="s">
        <v>377</v>
      </c>
      <c r="D6" s="13">
        <v>3134141803</v>
      </c>
      <c r="E6" s="13" t="s">
        <v>378</v>
      </c>
      <c r="F6" s="13" t="s">
        <v>377</v>
      </c>
      <c r="G6" s="68">
        <v>3</v>
      </c>
      <c r="H6" s="68">
        <v>3.7</v>
      </c>
      <c r="I6" s="68">
        <v>4</v>
      </c>
    </row>
    <row r="7" spans="1:9" x14ac:dyDescent="0.25">
      <c r="A7" s="67">
        <v>6</v>
      </c>
      <c r="B7" s="13" t="s">
        <v>379</v>
      </c>
      <c r="C7" s="13" t="s">
        <v>380</v>
      </c>
      <c r="D7" s="13">
        <v>3208641721</v>
      </c>
      <c r="E7" s="13" t="s">
        <v>381</v>
      </c>
      <c r="F7" s="13" t="s">
        <v>380</v>
      </c>
      <c r="G7" s="68">
        <v>5</v>
      </c>
      <c r="H7" s="68">
        <v>7</v>
      </c>
      <c r="I7" s="68">
        <v>4</v>
      </c>
    </row>
    <row r="8" spans="1:9" hidden="1" x14ac:dyDescent="0.25">
      <c r="A8" s="67"/>
      <c r="B8" s="13"/>
      <c r="C8" s="13"/>
      <c r="D8" s="13"/>
      <c r="E8" s="13"/>
      <c r="F8" s="13"/>
      <c r="G8" s="68"/>
      <c r="H8" s="68"/>
      <c r="I8" s="68"/>
    </row>
    <row r="9" spans="1:9" hidden="1" x14ac:dyDescent="0.25">
      <c r="A9" s="67"/>
      <c r="B9" s="13"/>
      <c r="C9" s="13"/>
      <c r="D9" s="13"/>
      <c r="E9" s="13"/>
      <c r="F9" s="13"/>
      <c r="G9" s="68"/>
      <c r="H9" s="68"/>
      <c r="I9" s="68"/>
    </row>
    <row r="10" spans="1:9" hidden="1" x14ac:dyDescent="0.25">
      <c r="A10" s="67"/>
      <c r="B10" s="13"/>
      <c r="C10" s="13"/>
      <c r="D10" s="13"/>
      <c r="E10" s="13"/>
      <c r="F10" s="13"/>
      <c r="G10" s="68"/>
      <c r="H10" s="68"/>
      <c r="I10" s="68"/>
    </row>
    <row r="11" spans="1:9" hidden="1" x14ac:dyDescent="0.25">
      <c r="A11" s="67"/>
      <c r="B11" s="13"/>
      <c r="C11" s="13"/>
      <c r="D11" s="13"/>
      <c r="E11" s="13"/>
      <c r="F11" s="13"/>
      <c r="G11" s="68"/>
      <c r="H11" s="68"/>
      <c r="I11" s="68"/>
    </row>
    <row r="12" spans="1:9" hidden="1" x14ac:dyDescent="0.25">
      <c r="A12" s="67"/>
      <c r="B12" s="13"/>
      <c r="C12" s="13"/>
      <c r="D12" s="13"/>
      <c r="E12" s="13"/>
      <c r="F12" s="13"/>
      <c r="G12" s="68"/>
      <c r="H12" s="68"/>
      <c r="I12" s="68"/>
    </row>
    <row r="13" spans="1:9" hidden="1" x14ac:dyDescent="0.25">
      <c r="A13" s="67"/>
      <c r="B13" s="13"/>
      <c r="C13" s="13"/>
      <c r="D13" s="13"/>
      <c r="E13" s="13"/>
      <c r="F13" s="13"/>
      <c r="G13" s="68"/>
      <c r="H13" s="68"/>
      <c r="I13" s="68"/>
    </row>
    <row r="14" spans="1:9" hidden="1" x14ac:dyDescent="0.25">
      <c r="A14" s="67"/>
      <c r="B14" s="13"/>
      <c r="C14" s="13"/>
      <c r="D14" s="13"/>
      <c r="E14" s="13"/>
      <c r="F14" s="13"/>
      <c r="G14" s="68"/>
      <c r="H14" s="68"/>
      <c r="I14" s="68"/>
    </row>
    <row r="15" spans="1:9" hidden="1" x14ac:dyDescent="0.25">
      <c r="A15" s="67"/>
      <c r="B15" s="13"/>
      <c r="C15" s="13"/>
      <c r="D15" s="13"/>
      <c r="E15" s="13"/>
      <c r="F15" s="13"/>
      <c r="G15" s="68"/>
      <c r="H15" s="68"/>
      <c r="I15" s="68"/>
    </row>
    <row r="16" spans="1:9" hidden="1" x14ac:dyDescent="0.25">
      <c r="A16" s="67"/>
      <c r="B16" s="13"/>
      <c r="C16" s="13"/>
      <c r="D16" s="13"/>
      <c r="E16" s="13"/>
      <c r="F16" s="13"/>
      <c r="G16" s="68"/>
      <c r="H16" s="68"/>
      <c r="I16" s="68"/>
    </row>
    <row r="17" spans="1:9" hidden="1" x14ac:dyDescent="0.25">
      <c r="A17" s="67"/>
      <c r="B17" s="13"/>
      <c r="C17" s="13"/>
      <c r="D17" s="13"/>
      <c r="E17" s="13"/>
      <c r="F17" s="13"/>
      <c r="G17" s="68"/>
      <c r="H17" s="68"/>
      <c r="I17" s="68"/>
    </row>
    <row r="18" spans="1:9" hidden="1" x14ac:dyDescent="0.25">
      <c r="A18" s="67"/>
      <c r="B18" s="13"/>
      <c r="C18" s="13"/>
      <c r="D18" s="13"/>
      <c r="E18" s="13"/>
      <c r="F18" s="13"/>
      <c r="G18" s="68"/>
      <c r="H18" s="68"/>
      <c r="I18" s="68"/>
    </row>
    <row r="19" spans="1:9" hidden="1" x14ac:dyDescent="0.25">
      <c r="A19" s="67"/>
      <c r="B19" s="13"/>
      <c r="C19" s="13"/>
      <c r="D19" s="13"/>
      <c r="E19" s="13"/>
      <c r="F19" s="13"/>
      <c r="G19" s="68"/>
      <c r="H19" s="68"/>
      <c r="I19" s="68"/>
    </row>
    <row r="20" spans="1:9" hidden="1" x14ac:dyDescent="0.25">
      <c r="A20" s="67"/>
      <c r="B20" s="13"/>
      <c r="C20" s="13"/>
      <c r="D20" s="13"/>
      <c r="E20" s="13"/>
      <c r="F20" s="13"/>
      <c r="G20" s="68"/>
      <c r="H20" s="68"/>
      <c r="I20" s="68"/>
    </row>
    <row r="21" spans="1:9" hidden="1" x14ac:dyDescent="0.25">
      <c r="A21" s="67"/>
      <c r="B21" s="13"/>
      <c r="C21" s="13"/>
      <c r="D21" s="13"/>
      <c r="E21" s="13"/>
      <c r="F21" s="13"/>
      <c r="G21" s="68"/>
      <c r="H21" s="68"/>
      <c r="I21" s="68"/>
    </row>
    <row r="22" spans="1:9" x14ac:dyDescent="0.25">
      <c r="G22" s="68">
        <v>29</v>
      </c>
      <c r="H22" s="68">
        <v>93.100000000000009</v>
      </c>
      <c r="I22" s="68">
        <v>4</v>
      </c>
    </row>
  </sheetData>
  <dataValidations count="5">
    <dataValidation allowBlank="1" showInputMessage="1" showErrorMessage="1" promptTitle="Team Member Name" prompt="Enter the team member's name." sqref="B1" xr:uid="{00000000-0002-0000-0600-000000000000}">
      <formula1>0</formula1>
      <formula2>0</formula2>
    </dataValidation>
    <dataValidation allowBlank="1" showInputMessage="1" showErrorMessage="1" promptTitle="Team Member Initials" prompt="Enter the team member's initials. Team member initials are required. They are used as a team member ID and must be unique within a team." sqref="C1" xr:uid="{00000000-0002-0000-0600-000001000000}">
      <formula1>0</formula1>
      <formula2>0</formula2>
    </dataValidation>
    <dataValidation allowBlank="1" showInputMessage="1" showErrorMessage="1" promptTitle="Team Member Phone" prompt="Enter the team member's phone number." sqref="D1" xr:uid="{00000000-0002-0000-0600-000002000000}">
      <formula1>0</formula1>
      <formula2>0</formula2>
    </dataValidation>
    <dataValidation allowBlank="1" showInputMessage="1" showErrorMessage="1" promptTitle="Team Member e-mail" prompt="Enter the team member's e-mail address." sqref="E1" xr:uid="{00000000-0002-0000-0600-000003000000}">
      <formula1>0</formula1>
      <formula2>0</formula2>
    </dataValidation>
    <dataValidation allowBlank="1" showInputMessage="1" showErrorMessage="1" promptTitle="Team Member Workbook Filename" prompt="Enter the filename of the team member's workbook. The filename is required, and is used when consolidating team plans, and for creating workbooks for team members." sqref="F1" xr:uid="{00000000-0002-0000-0600-000004000000}">
      <formula1>0</formula1>
      <formula2>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W8"/>
  <sheetViews>
    <sheetView workbookViewId="0"/>
  </sheetViews>
  <sheetFormatPr baseColWidth="10" defaultColWidth="11.44140625" defaultRowHeight="13.2" x14ac:dyDescent="0.25"/>
  <cols>
    <col min="1" max="1" width="16.6640625" style="23" customWidth="1"/>
    <col min="2" max="2" width="45.6640625" style="23" customWidth="1"/>
    <col min="3" max="4" width="18.6640625" style="23" customWidth="1"/>
    <col min="5" max="5" width="6.6640625" style="23" customWidth="1"/>
    <col min="6" max="6" width="9.6640625" style="23" customWidth="1"/>
    <col min="7" max="7" width="5.6640625" style="2" customWidth="1"/>
    <col min="8" max="8" width="7.33203125" style="2" customWidth="1"/>
    <col min="9" max="9" width="11.44140625" style="2" customWidth="1"/>
    <col min="10" max="10" width="31.44140625" style="2" customWidth="1"/>
    <col min="11" max="257" width="11.44140625" style="2" customWidth="1"/>
  </cols>
  <sheetData>
    <row r="1" spans="1:7" ht="11.25" customHeight="1" x14ac:dyDescent="0.25">
      <c r="A1" s="69"/>
      <c r="B1" s="70"/>
      <c r="C1" s="286" t="s">
        <v>382</v>
      </c>
      <c r="D1" s="287"/>
      <c r="E1" s="288" t="s">
        <v>383</v>
      </c>
      <c r="F1" s="287"/>
    </row>
    <row r="2" spans="1:7" x14ac:dyDescent="0.25">
      <c r="A2" s="72" t="s">
        <v>384</v>
      </c>
      <c r="B2" s="73" t="s">
        <v>207</v>
      </c>
      <c r="C2" s="71" t="s">
        <v>207</v>
      </c>
      <c r="D2" s="66" t="s">
        <v>307</v>
      </c>
      <c r="E2" s="66" t="s">
        <v>385</v>
      </c>
      <c r="F2" s="66" t="s">
        <v>386</v>
      </c>
      <c r="G2" s="15"/>
    </row>
    <row r="3" spans="1:7" ht="20.399999999999999" x14ac:dyDescent="0.25">
      <c r="A3" s="23" t="s">
        <v>387</v>
      </c>
      <c r="B3" s="23" t="s">
        <v>388</v>
      </c>
      <c r="C3" s="23" t="s">
        <v>389</v>
      </c>
      <c r="D3" s="23" t="s">
        <v>390</v>
      </c>
      <c r="E3" s="23" t="s">
        <v>391</v>
      </c>
      <c r="F3" s="23" t="s">
        <v>392</v>
      </c>
    </row>
    <row r="4" spans="1:7" x14ac:dyDescent="0.25">
      <c r="A4" s="23" t="s">
        <v>387</v>
      </c>
      <c r="B4" s="23" t="s">
        <v>393</v>
      </c>
      <c r="C4" s="23" t="s">
        <v>394</v>
      </c>
      <c r="D4" s="23" t="s">
        <v>394</v>
      </c>
      <c r="E4" s="23" t="s">
        <v>395</v>
      </c>
      <c r="F4" s="23" t="s">
        <v>396</v>
      </c>
    </row>
    <row r="5" spans="1:7" x14ac:dyDescent="0.25">
      <c r="A5" s="23" t="s">
        <v>387</v>
      </c>
      <c r="B5" s="23" t="s">
        <v>397</v>
      </c>
      <c r="C5" s="23" t="s">
        <v>398</v>
      </c>
      <c r="D5" s="23" t="s">
        <v>399</v>
      </c>
      <c r="E5" s="23" t="s">
        <v>395</v>
      </c>
      <c r="F5" s="23" t="s">
        <v>396</v>
      </c>
    </row>
    <row r="6" spans="1:7" ht="20.399999999999999" customHeight="1" x14ac:dyDescent="0.25">
      <c r="A6" s="23" t="s">
        <v>387</v>
      </c>
      <c r="B6" s="23" t="s">
        <v>400</v>
      </c>
      <c r="C6" s="23" t="s">
        <v>401</v>
      </c>
      <c r="D6" s="23" t="s">
        <v>401</v>
      </c>
      <c r="E6" s="23" t="s">
        <v>402</v>
      </c>
      <c r="F6" s="23" t="s">
        <v>396</v>
      </c>
    </row>
    <row r="7" spans="1:7" ht="20.399999999999999" customHeight="1" x14ac:dyDescent="0.25">
      <c r="A7" s="23" t="s">
        <v>403</v>
      </c>
      <c r="B7" s="23" t="s">
        <v>404</v>
      </c>
      <c r="C7" s="23" t="s">
        <v>405</v>
      </c>
      <c r="D7" s="23" t="s">
        <v>406</v>
      </c>
      <c r="E7" s="23" t="s">
        <v>407</v>
      </c>
      <c r="F7" s="23" t="s">
        <v>408</v>
      </c>
    </row>
    <row r="8" spans="1:7" ht="20.399999999999999" customHeight="1" x14ac:dyDescent="0.25">
      <c r="A8" s="23" t="s">
        <v>387</v>
      </c>
      <c r="B8" s="23" t="s">
        <v>409</v>
      </c>
      <c r="C8" s="23" t="s">
        <v>410</v>
      </c>
      <c r="D8" s="23" t="s">
        <v>411</v>
      </c>
      <c r="E8" s="23" t="s">
        <v>412</v>
      </c>
      <c r="F8" s="23" t="s">
        <v>396</v>
      </c>
    </row>
  </sheetData>
  <mergeCells count="2">
    <mergeCell ref="C1:D1"/>
    <mergeCell ref="E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28"/>
  <sheetViews>
    <sheetView workbookViewId="0"/>
  </sheetViews>
  <sheetFormatPr baseColWidth="10" defaultColWidth="11.44140625" defaultRowHeight="13.2" x14ac:dyDescent="0.25"/>
  <cols>
    <col min="1" max="1" width="26.6640625" style="2" customWidth="1"/>
    <col min="2" max="2" width="14.6640625" style="2" customWidth="1"/>
    <col min="3" max="5" width="14.6640625" style="2" hidden="1" customWidth="1"/>
    <col min="6" max="6" width="9.109375" style="2" hidden="1" customWidth="1"/>
    <col min="7" max="257" width="11.44140625" style="2" customWidth="1"/>
  </cols>
  <sheetData>
    <row r="1" spans="1:5" ht="27" customHeight="1" x14ac:dyDescent="0.25">
      <c r="A1" s="74" t="s">
        <v>413</v>
      </c>
      <c r="B1" s="75"/>
      <c r="C1" s="76" t="s">
        <v>414</v>
      </c>
      <c r="D1" s="76" t="s">
        <v>415</v>
      </c>
      <c r="E1" s="76" t="s">
        <v>416</v>
      </c>
    </row>
    <row r="2" spans="1:5" ht="15" customHeight="1" x14ac:dyDescent="0.25">
      <c r="A2" s="77" t="s">
        <v>71</v>
      </c>
      <c r="B2" s="78" t="s">
        <v>365</v>
      </c>
      <c r="C2" s="79"/>
      <c r="D2" s="79"/>
      <c r="E2" s="79"/>
    </row>
    <row r="3" spans="1:5" ht="15" customHeight="1" x14ac:dyDescent="0.25">
      <c r="A3" s="80"/>
      <c r="B3" s="78"/>
      <c r="C3" s="78"/>
      <c r="D3" s="78"/>
      <c r="E3" s="78"/>
    </row>
    <row r="4" spans="1:5" ht="15" customHeight="1" x14ac:dyDescent="0.25">
      <c r="A4" s="77" t="s">
        <v>417</v>
      </c>
      <c r="B4" s="79" t="s">
        <v>371</v>
      </c>
      <c r="C4" s="79"/>
      <c r="D4" s="79"/>
      <c r="E4" s="79"/>
    </row>
    <row r="5" spans="1:5" ht="15" customHeight="1" x14ac:dyDescent="0.25">
      <c r="A5" s="80"/>
      <c r="B5" s="78"/>
      <c r="C5" s="78"/>
      <c r="D5" s="78"/>
      <c r="E5" s="78"/>
    </row>
    <row r="6" spans="1:5" ht="15" customHeight="1" x14ac:dyDescent="0.25">
      <c r="A6" s="77" t="s">
        <v>79</v>
      </c>
      <c r="B6" s="79" t="s">
        <v>368</v>
      </c>
      <c r="C6" s="79"/>
      <c r="D6" s="79"/>
      <c r="E6" s="79"/>
    </row>
    <row r="7" spans="1:5" ht="15" customHeight="1" x14ac:dyDescent="0.25">
      <c r="A7" s="80"/>
      <c r="B7" s="78"/>
      <c r="C7" s="78"/>
      <c r="D7" s="78"/>
      <c r="E7" s="78"/>
    </row>
    <row r="8" spans="1:5" ht="15" customHeight="1" x14ac:dyDescent="0.25">
      <c r="A8" s="77" t="s">
        <v>95</v>
      </c>
      <c r="B8" s="79" t="s">
        <v>374</v>
      </c>
      <c r="C8" s="79"/>
      <c r="D8" s="79"/>
      <c r="E8" s="79"/>
    </row>
    <row r="9" spans="1:5" ht="15" customHeight="1" x14ac:dyDescent="0.25">
      <c r="A9" s="80"/>
      <c r="B9" s="78"/>
      <c r="C9" s="78"/>
      <c r="D9" s="78"/>
      <c r="E9" s="78"/>
    </row>
    <row r="10" spans="1:5" ht="15" customHeight="1" x14ac:dyDescent="0.25">
      <c r="A10" s="77" t="s">
        <v>418</v>
      </c>
      <c r="B10" s="79" t="s">
        <v>377</v>
      </c>
      <c r="C10" s="79"/>
      <c r="D10" s="79"/>
      <c r="E10" s="79"/>
    </row>
    <row r="11" spans="1:5" ht="15" customHeight="1" x14ac:dyDescent="0.25">
      <c r="A11" s="80"/>
      <c r="B11" s="78"/>
      <c r="C11" s="78"/>
      <c r="D11" s="78"/>
      <c r="E11" s="78"/>
    </row>
    <row r="12" spans="1:5" ht="15" hidden="1" customHeight="1" x14ac:dyDescent="0.25">
      <c r="A12" s="77" t="s">
        <v>419</v>
      </c>
      <c r="B12" s="79" t="s">
        <v>380</v>
      </c>
      <c r="C12" s="79"/>
      <c r="D12" s="79"/>
      <c r="E12" s="79"/>
    </row>
    <row r="13" spans="1:5" ht="15" hidden="1" customHeight="1" x14ac:dyDescent="0.25">
      <c r="A13" s="80"/>
      <c r="B13" s="78"/>
      <c r="C13" s="78"/>
      <c r="D13" s="78"/>
      <c r="E13" s="78"/>
    </row>
    <row r="14" spans="1:5" ht="15" hidden="1" customHeight="1" x14ac:dyDescent="0.25">
      <c r="A14" s="77" t="s">
        <v>420</v>
      </c>
      <c r="B14" s="79" t="s">
        <v>374</v>
      </c>
      <c r="C14" s="79"/>
      <c r="D14" s="79"/>
      <c r="E14" s="79"/>
    </row>
    <row r="15" spans="1:5" ht="15" hidden="1" customHeight="1" x14ac:dyDescent="0.25">
      <c r="A15" s="80"/>
      <c r="B15" s="78"/>
      <c r="C15" s="78"/>
      <c r="D15" s="78"/>
      <c r="E15" s="78"/>
    </row>
    <row r="16" spans="1:5" ht="15" hidden="1" customHeight="1" x14ac:dyDescent="0.25">
      <c r="A16" s="77" t="s">
        <v>418</v>
      </c>
      <c r="B16" s="79" t="s">
        <v>377</v>
      </c>
      <c r="C16" s="79"/>
      <c r="D16" s="79"/>
      <c r="E16" s="79"/>
    </row>
    <row r="17" spans="1:5" ht="15" hidden="1" customHeight="1" x14ac:dyDescent="0.25">
      <c r="A17" s="80"/>
      <c r="B17" s="78"/>
      <c r="C17" s="78"/>
      <c r="D17" s="78"/>
      <c r="E17" s="78"/>
    </row>
    <row r="18" spans="1:5" ht="15" hidden="1" customHeight="1" x14ac:dyDescent="0.25">
      <c r="A18" s="77" t="s">
        <v>421</v>
      </c>
      <c r="B18" s="79" t="s">
        <v>380</v>
      </c>
      <c r="C18" s="79"/>
      <c r="D18" s="79"/>
      <c r="E18" s="79"/>
    </row>
    <row r="19" spans="1:5" ht="15" hidden="1" customHeight="1" x14ac:dyDescent="0.25">
      <c r="A19" s="80"/>
      <c r="B19" s="78"/>
      <c r="C19" s="78"/>
      <c r="D19" s="78"/>
      <c r="E19" s="78"/>
    </row>
    <row r="20" spans="1:5" ht="15" customHeight="1" x14ac:dyDescent="0.25">
      <c r="A20" s="270" t="s">
        <v>419</v>
      </c>
      <c r="B20" s="271" t="s">
        <v>380</v>
      </c>
      <c r="C20" s="79"/>
      <c r="D20" s="79"/>
      <c r="E20" s="79"/>
    </row>
    <row r="21" spans="1:5" ht="15" customHeight="1" x14ac:dyDescent="0.25">
      <c r="A21" s="82"/>
      <c r="B21" s="78"/>
      <c r="C21" s="78"/>
      <c r="D21" s="78"/>
      <c r="E21" s="78"/>
    </row>
    <row r="22" spans="1:5" ht="15" hidden="1" customHeight="1" x14ac:dyDescent="0.25">
      <c r="A22" s="81"/>
      <c r="B22" s="79"/>
      <c r="C22" s="83"/>
      <c r="D22" s="83"/>
      <c r="E22" s="83"/>
    </row>
    <row r="23" spans="1:5" ht="15" hidden="1" customHeight="1" x14ac:dyDescent="0.25">
      <c r="A23" s="82"/>
      <c r="B23" s="78"/>
      <c r="C23" s="84"/>
      <c r="D23" s="84"/>
      <c r="E23" s="84"/>
    </row>
    <row r="24" spans="1:5" ht="15" hidden="1" customHeight="1" x14ac:dyDescent="0.25">
      <c r="A24" s="81"/>
      <c r="B24" s="79"/>
      <c r="C24" s="83"/>
      <c r="D24" s="83"/>
      <c r="E24" s="83"/>
    </row>
    <row r="25" spans="1:5" ht="15" hidden="1" customHeight="1" x14ac:dyDescent="0.25">
      <c r="A25" s="82"/>
      <c r="B25" s="78"/>
      <c r="C25" s="84"/>
      <c r="D25" s="84"/>
      <c r="E25" s="84"/>
    </row>
    <row r="26" spans="1:5" x14ac:dyDescent="0.25">
      <c r="A26" s="85"/>
      <c r="E26" s="86"/>
    </row>
    <row r="28" spans="1:5" x14ac:dyDescent="0.25">
      <c r="A28" s="18"/>
    </row>
  </sheetData>
  <dataValidations count="2">
    <dataValidation type="list" allowBlank="1" showErrorMessage="1" sqref="B2:E25" xr:uid="{00000000-0002-0000-0800-000000000000}">
      <formula1>validTeamMembersInitials</formula1>
      <formula2>0</formula2>
    </dataValidation>
    <dataValidation allowBlank="1" showInputMessage="1" showErrorMessage="1" promptTitle="Team Member Role" prompt="Scroll the drop-drown list and select the initials of the team member assigned to this role. Hint: if team member initials are not shown, scroll the list up, or verify that the team member initials are defined on the Team worksheet." sqref="B1" xr:uid="{00000000-0002-0000-0800-000001000000}">
      <formula1>0</formula1>
      <formula2>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W98"/>
  <sheetViews>
    <sheetView topLeftCell="A10" workbookViewId="0"/>
  </sheetViews>
  <sheetFormatPr baseColWidth="10" defaultColWidth="11.44140625" defaultRowHeight="13.2" x14ac:dyDescent="0.25"/>
  <cols>
    <col min="1" max="1" width="30.109375" style="38" customWidth="1"/>
    <col min="2" max="2" width="11.44140625" style="38" customWidth="1"/>
    <col min="3" max="3" width="1.6640625" style="38" customWidth="1"/>
    <col min="4" max="4" width="11.44140625" style="38" customWidth="1"/>
    <col min="5" max="5" width="1.6640625" style="38" customWidth="1"/>
    <col min="6" max="6" width="8.6640625" style="38" customWidth="1"/>
    <col min="7" max="7" width="1.6640625" style="38" customWidth="1"/>
    <col min="8" max="8" width="8.6640625" style="33" customWidth="1"/>
    <col min="9" max="9" width="12.6640625" style="33" customWidth="1"/>
    <col min="10" max="10" width="1.6640625" style="33" customWidth="1"/>
    <col min="11" max="257" width="11.44140625" style="33" customWidth="1"/>
  </cols>
  <sheetData>
    <row r="1" spans="1:9" ht="15.6" customHeight="1" x14ac:dyDescent="0.3">
      <c r="A1" s="87" t="str">
        <f>TSPProcessName&amp;" Plan Summary - Form SUMP"</f>
        <v>TSPi Plan Summary - Form SUMP</v>
      </c>
      <c r="B1" s="87"/>
      <c r="C1" s="87"/>
      <c r="D1" s="87"/>
      <c r="E1" s="87"/>
      <c r="F1" s="87"/>
      <c r="G1" s="87"/>
      <c r="H1" s="87"/>
      <c r="I1" s="87"/>
    </row>
    <row r="2" spans="1:9" x14ac:dyDescent="0.25">
      <c r="A2" s="88" t="s">
        <v>312</v>
      </c>
      <c r="B2" s="289" t="str">
        <f>IF(Name=0,"",Name)</f>
        <v>Catálogo de Productos de Belleza Be Beautiful</v>
      </c>
      <c r="C2" s="290"/>
      <c r="D2" s="290"/>
      <c r="E2" s="290"/>
      <c r="F2" s="290"/>
      <c r="H2" s="88" t="s">
        <v>314</v>
      </c>
      <c r="I2" s="268">
        <v>46196</v>
      </c>
    </row>
    <row r="3" spans="1:9" x14ac:dyDescent="0.25">
      <c r="A3" s="88" t="s">
        <v>14</v>
      </c>
      <c r="B3" s="293" t="str">
        <f>IF(TeamName=0,"",TeamName)</f>
        <v>Subgrupo 4</v>
      </c>
      <c r="C3" s="292"/>
      <c r="D3" s="292"/>
      <c r="E3" s="292"/>
      <c r="F3" s="292"/>
      <c r="H3" s="88" t="str">
        <f>IF(Project!C5&lt;&gt;"",Project!C5,"")</f>
        <v>Instructor</v>
      </c>
      <c r="I3" s="90" t="str">
        <f>IF(InstructorName=0,"",InstructorName)</f>
        <v>Martinez, Natalia</v>
      </c>
    </row>
    <row r="4" spans="1:9" x14ac:dyDescent="0.25">
      <c r="A4" s="54" t="s">
        <v>325</v>
      </c>
      <c r="B4" s="291"/>
      <c r="C4" s="292"/>
      <c r="D4" s="292"/>
      <c r="E4" s="292"/>
      <c r="F4" s="292"/>
      <c r="H4" s="88" t="s">
        <v>326</v>
      </c>
      <c r="I4" s="89" t="s">
        <v>408</v>
      </c>
    </row>
    <row r="6" spans="1:9" x14ac:dyDescent="0.25">
      <c r="A6" s="91" t="s">
        <v>422</v>
      </c>
      <c r="B6" s="92" t="s">
        <v>306</v>
      </c>
      <c r="D6" s="92" t="s">
        <v>307</v>
      </c>
    </row>
    <row r="7" spans="1:9" x14ac:dyDescent="0.25">
      <c r="A7" s="38" t="s">
        <v>423</v>
      </c>
      <c r="B7" s="90">
        <v>0</v>
      </c>
      <c r="D7" s="90">
        <v>0</v>
      </c>
    </row>
    <row r="8" spans="1:9" x14ac:dyDescent="0.25">
      <c r="A8" s="38" t="s">
        <v>424</v>
      </c>
      <c r="B8" s="90"/>
      <c r="D8" s="90"/>
    </row>
    <row r="9" spans="1:9" x14ac:dyDescent="0.25">
      <c r="A9" s="38" t="s">
        <v>425</v>
      </c>
      <c r="B9" s="90"/>
      <c r="D9" s="90"/>
    </row>
    <row r="10" spans="1:9" x14ac:dyDescent="0.25">
      <c r="A10" s="38" t="s">
        <v>426</v>
      </c>
      <c r="B10" s="90"/>
      <c r="D10" s="90"/>
    </row>
    <row r="11" spans="1:9" x14ac:dyDescent="0.25">
      <c r="A11" s="39" t="s">
        <v>427</v>
      </c>
      <c r="B11" s="90"/>
      <c r="D11" s="90"/>
    </row>
    <row r="12" spans="1:9" x14ac:dyDescent="0.25">
      <c r="A12" s="39" t="s">
        <v>428</v>
      </c>
      <c r="B12" s="90"/>
      <c r="D12" s="90"/>
    </row>
    <row r="13" spans="1:9" x14ac:dyDescent="0.25">
      <c r="A13" s="39" t="s">
        <v>429</v>
      </c>
      <c r="B13" s="90">
        <v>1091</v>
      </c>
      <c r="D13" s="90">
        <v>1091</v>
      </c>
    </row>
    <row r="14" spans="1:9" x14ac:dyDescent="0.25">
      <c r="A14" s="39" t="s">
        <v>430</v>
      </c>
      <c r="B14" s="90"/>
      <c r="D14" s="90"/>
    </row>
    <row r="15" spans="1:9" x14ac:dyDescent="0.25">
      <c r="A15" s="38" t="s">
        <v>431</v>
      </c>
      <c r="B15" s="90">
        <v>1091</v>
      </c>
      <c r="D15" s="90">
        <v>1091</v>
      </c>
    </row>
    <row r="16" spans="1:9" x14ac:dyDescent="0.25">
      <c r="A16" s="38" t="s">
        <v>432</v>
      </c>
      <c r="B16" s="90">
        <v>1091</v>
      </c>
      <c r="D16" s="90">
        <v>1091</v>
      </c>
    </row>
    <row r="17" spans="1:6" x14ac:dyDescent="0.25">
      <c r="A17" s="38" t="s">
        <v>433</v>
      </c>
      <c r="B17" s="90"/>
      <c r="D17" s="90"/>
    </row>
    <row r="18" spans="1:6" x14ac:dyDescent="0.25">
      <c r="A18" s="38" t="s">
        <v>434</v>
      </c>
      <c r="B18" s="90">
        <v>1091</v>
      </c>
      <c r="D18" s="90">
        <v>1091</v>
      </c>
    </row>
    <row r="19" spans="1:6" x14ac:dyDescent="0.25">
      <c r="A19" s="38" t="s">
        <v>435</v>
      </c>
      <c r="B19" s="90"/>
      <c r="D19" s="90"/>
    </row>
    <row r="20" spans="1:6" x14ac:dyDescent="0.25">
      <c r="A20" s="38" t="s">
        <v>436</v>
      </c>
      <c r="B20" s="90"/>
      <c r="D20" s="90"/>
    </row>
    <row r="22" spans="1:6" x14ac:dyDescent="0.25">
      <c r="A22" s="91" t="s">
        <v>437</v>
      </c>
      <c r="B22" s="92" t="s">
        <v>306</v>
      </c>
      <c r="D22" s="92" t="s">
        <v>307</v>
      </c>
      <c r="F22" s="92" t="s">
        <v>438</v>
      </c>
    </row>
    <row r="23" spans="1:6" x14ac:dyDescent="0.25">
      <c r="A23" s="39" t="str">
        <f>Phases!B2</f>
        <v>Management and Miscellaneous</v>
      </c>
      <c r="B23" s="93">
        <v>10</v>
      </c>
      <c r="C23" s="261"/>
      <c r="D23" s="93">
        <v>10.7</v>
      </c>
      <c r="E23" s="261"/>
      <c r="F23" s="93">
        <v>0.10974358974358971</v>
      </c>
    </row>
    <row r="24" spans="1:6" x14ac:dyDescent="0.25">
      <c r="A24" s="39" t="str">
        <f>Phases!B3</f>
        <v>Launch and Strategy</v>
      </c>
      <c r="B24" s="93">
        <v>0</v>
      </c>
      <c r="C24" s="261"/>
      <c r="D24" s="93">
        <v>0</v>
      </c>
      <c r="E24" s="261"/>
      <c r="F24" s="93">
        <v>0</v>
      </c>
    </row>
    <row r="25" spans="1:6" x14ac:dyDescent="0.25">
      <c r="A25" s="39" t="str">
        <f>Phases!B4</f>
        <v>Planning</v>
      </c>
      <c r="B25" s="93">
        <v>8</v>
      </c>
      <c r="C25" s="261"/>
      <c r="D25" s="93">
        <v>8.4</v>
      </c>
      <c r="E25" s="261"/>
      <c r="F25" s="93">
        <v>8.6153846153846164E-2</v>
      </c>
    </row>
    <row r="26" spans="1:6" x14ac:dyDescent="0.25">
      <c r="A26" s="39" t="str">
        <f>Phases!B5</f>
        <v>Requirements</v>
      </c>
      <c r="B26" s="93">
        <v>0</v>
      </c>
      <c r="C26" s="261"/>
      <c r="D26" s="93">
        <v>0</v>
      </c>
      <c r="E26" s="261"/>
      <c r="F26" s="93">
        <v>0</v>
      </c>
    </row>
    <row r="27" spans="1:6" x14ac:dyDescent="0.25">
      <c r="A27" s="39" t="str">
        <f>Phases!B6</f>
        <v>System Test Plan</v>
      </c>
      <c r="B27" s="93">
        <v>0</v>
      </c>
      <c r="C27" s="261"/>
      <c r="D27" s="93">
        <v>0</v>
      </c>
      <c r="E27" s="261"/>
      <c r="F27" s="93">
        <v>0</v>
      </c>
    </row>
    <row r="28" spans="1:6" x14ac:dyDescent="0.25">
      <c r="A28" s="39" t="str">
        <f>Phases!B7</f>
        <v>REQ Inspection</v>
      </c>
      <c r="B28" s="93">
        <v>0</v>
      </c>
      <c r="C28" s="261"/>
      <c r="D28" s="93">
        <v>0</v>
      </c>
      <c r="E28" s="261"/>
      <c r="F28" s="93">
        <v>0</v>
      </c>
    </row>
    <row r="29" spans="1:6" x14ac:dyDescent="0.25">
      <c r="A29" s="39" t="str">
        <f>Phases!B8</f>
        <v>High-Level Design</v>
      </c>
      <c r="B29" s="93">
        <v>14</v>
      </c>
      <c r="C29" s="261"/>
      <c r="D29" s="93">
        <v>14.8</v>
      </c>
      <c r="E29" s="261"/>
      <c r="F29" s="93">
        <v>0.15179487179487181</v>
      </c>
    </row>
    <row r="30" spans="1:6" x14ac:dyDescent="0.25">
      <c r="A30" s="39" t="str">
        <f>Phases!B9</f>
        <v>Integration Test Plan</v>
      </c>
      <c r="B30" s="93">
        <v>0</v>
      </c>
      <c r="C30" s="261"/>
      <c r="D30" s="93">
        <v>0</v>
      </c>
      <c r="E30" s="261"/>
      <c r="F30" s="93">
        <v>0</v>
      </c>
    </row>
    <row r="31" spans="1:6" x14ac:dyDescent="0.25">
      <c r="A31" s="39" t="str">
        <f>Phases!B10</f>
        <v>HLD Inspection</v>
      </c>
      <c r="B31" s="93">
        <v>0</v>
      </c>
      <c r="C31" s="261"/>
      <c r="D31" s="93">
        <v>0</v>
      </c>
      <c r="E31" s="261"/>
      <c r="F31" s="93">
        <v>0</v>
      </c>
    </row>
    <row r="32" spans="1:6" x14ac:dyDescent="0.25">
      <c r="A32" s="39" t="str">
        <f>Phases!B11</f>
        <v>Detailed Design</v>
      </c>
      <c r="B32" s="93">
        <v>0</v>
      </c>
      <c r="C32" s="261"/>
      <c r="D32" s="93">
        <v>0</v>
      </c>
      <c r="E32" s="261"/>
      <c r="F32" s="93">
        <v>0</v>
      </c>
    </row>
    <row r="33" spans="1:6" x14ac:dyDescent="0.25">
      <c r="A33" s="39" t="str">
        <f>Phases!B12</f>
        <v>DLD Review</v>
      </c>
      <c r="B33" s="93">
        <v>0</v>
      </c>
      <c r="C33" s="261"/>
      <c r="D33" s="93">
        <v>0</v>
      </c>
      <c r="E33" s="261"/>
      <c r="F33" s="93">
        <v>0</v>
      </c>
    </row>
    <row r="34" spans="1:6" x14ac:dyDescent="0.25">
      <c r="A34" s="39" t="str">
        <f>Phases!B13</f>
        <v>Test Development</v>
      </c>
      <c r="B34" s="93">
        <v>0</v>
      </c>
      <c r="C34" s="261"/>
      <c r="D34" s="93">
        <v>0</v>
      </c>
      <c r="E34" s="261"/>
      <c r="F34" s="93">
        <v>0</v>
      </c>
    </row>
    <row r="35" spans="1:6" x14ac:dyDescent="0.25">
      <c r="A35" s="39" t="str">
        <f>Phases!B14</f>
        <v>DLD Inspection</v>
      </c>
      <c r="B35" s="93">
        <v>0</v>
      </c>
      <c r="C35" s="261"/>
      <c r="D35" s="93">
        <v>0</v>
      </c>
      <c r="E35" s="261"/>
      <c r="F35" s="93">
        <v>0</v>
      </c>
    </row>
    <row r="36" spans="1:6" x14ac:dyDescent="0.25">
      <c r="A36" s="39" t="str">
        <f>Phases!B15</f>
        <v>Code</v>
      </c>
      <c r="B36" s="93">
        <v>28</v>
      </c>
      <c r="C36" s="261"/>
      <c r="D36" s="93">
        <v>29.4</v>
      </c>
      <c r="E36" s="261"/>
      <c r="F36" s="93">
        <v>0.30153846153846148</v>
      </c>
    </row>
    <row r="37" spans="1:6" x14ac:dyDescent="0.25">
      <c r="A37" s="39" t="str">
        <f>Phases!B16</f>
        <v>Code Review</v>
      </c>
      <c r="B37" s="93">
        <v>0</v>
      </c>
      <c r="C37" s="261"/>
      <c r="D37" s="93">
        <v>0</v>
      </c>
      <c r="E37" s="261"/>
      <c r="F37" s="93">
        <v>0</v>
      </c>
    </row>
    <row r="38" spans="1:6" x14ac:dyDescent="0.25">
      <c r="A38" s="39" t="str">
        <f>Phases!B17</f>
        <v>Compile</v>
      </c>
      <c r="B38" s="93">
        <v>0</v>
      </c>
      <c r="C38" s="261"/>
      <c r="D38" s="93">
        <v>0</v>
      </c>
      <c r="E38" s="261"/>
      <c r="F38" s="93">
        <v>0</v>
      </c>
    </row>
    <row r="39" spans="1:6" x14ac:dyDescent="0.25">
      <c r="A39" s="39" t="str">
        <f>Phases!B18</f>
        <v>Code Inspection</v>
      </c>
      <c r="B39" s="93">
        <v>0</v>
      </c>
      <c r="C39" s="261"/>
      <c r="D39" s="93">
        <v>0</v>
      </c>
      <c r="E39" s="261"/>
      <c r="F39" s="93">
        <v>0</v>
      </c>
    </row>
    <row r="40" spans="1:6" x14ac:dyDescent="0.25">
      <c r="A40" s="39" t="str">
        <f>Phases!B19</f>
        <v>Unit Test</v>
      </c>
      <c r="B40" s="93">
        <v>0</v>
      </c>
      <c r="C40" s="261"/>
      <c r="D40" s="93">
        <v>0</v>
      </c>
      <c r="E40" s="261"/>
      <c r="F40" s="93">
        <v>0</v>
      </c>
    </row>
    <row r="41" spans="1:6" x14ac:dyDescent="0.25">
      <c r="A41" s="39" t="str">
        <f>Phases!B20</f>
        <v>Build and Integration Test</v>
      </c>
      <c r="B41" s="93">
        <v>0</v>
      </c>
      <c r="C41" s="261"/>
      <c r="D41" s="93">
        <v>0</v>
      </c>
      <c r="E41" s="261"/>
      <c r="F41" s="93">
        <v>0</v>
      </c>
    </row>
    <row r="42" spans="1:6" x14ac:dyDescent="0.25">
      <c r="A42" s="39" t="str">
        <f>Phases!B21</f>
        <v>System Test</v>
      </c>
      <c r="B42" s="93">
        <v>20</v>
      </c>
      <c r="C42" s="261"/>
      <c r="D42" s="93">
        <v>21.1</v>
      </c>
      <c r="E42" s="261"/>
      <c r="F42" s="93">
        <v>0.21641025641025641</v>
      </c>
    </row>
    <row r="43" spans="1:6" x14ac:dyDescent="0.25">
      <c r="A43" s="39" t="str">
        <f>Phases!B22</f>
        <v>Documentation</v>
      </c>
      <c r="B43" s="93">
        <v>13.1</v>
      </c>
      <c r="C43" s="261"/>
      <c r="D43" s="93">
        <v>13.1</v>
      </c>
      <c r="E43" s="261"/>
      <c r="F43" s="93">
        <v>0.13435897435897429</v>
      </c>
    </row>
    <row r="44" spans="1:6" x14ac:dyDescent="0.25">
      <c r="A44" s="39" t="str">
        <f>Phases!B23</f>
        <v>Postmortem</v>
      </c>
      <c r="B44" s="93">
        <v>0</v>
      </c>
      <c r="C44" s="261"/>
      <c r="D44" s="93">
        <v>0</v>
      </c>
      <c r="E44" s="261"/>
      <c r="F44" s="93">
        <v>0</v>
      </c>
    </row>
    <row r="45" spans="1:6" x14ac:dyDescent="0.25">
      <c r="A45" s="39" t="s">
        <v>439</v>
      </c>
      <c r="B45" s="93">
        <v>93.1</v>
      </c>
      <c r="C45" s="261"/>
      <c r="D45" s="93">
        <v>97.5</v>
      </c>
      <c r="E45" s="261"/>
      <c r="F45" s="93">
        <v>1</v>
      </c>
    </row>
    <row r="46" spans="1:6" x14ac:dyDescent="0.25">
      <c r="A46" s="39" t="s">
        <v>440</v>
      </c>
      <c r="B46" s="95"/>
      <c r="D46" s="95"/>
    </row>
    <row r="47" spans="1:6" x14ac:dyDescent="0.25">
      <c r="A47" s="39" t="s">
        <v>441</v>
      </c>
      <c r="B47" s="95"/>
      <c r="D47" s="95"/>
    </row>
    <row r="50" spans="1:8" x14ac:dyDescent="0.25">
      <c r="A50" s="91" t="s">
        <v>442</v>
      </c>
      <c r="B50" s="92" t="s">
        <v>306</v>
      </c>
      <c r="D50" s="92" t="s">
        <v>307</v>
      </c>
      <c r="F50" s="92" t="s">
        <v>438</v>
      </c>
    </row>
    <row r="51" spans="1:8" x14ac:dyDescent="0.25">
      <c r="A51" s="39" t="str">
        <f>IF(Phases!E4="Y",Phases!B4,"")</f>
        <v>Planning</v>
      </c>
      <c r="B51" s="93">
        <v>8</v>
      </c>
      <c r="D51" s="96">
        <v>8</v>
      </c>
      <c r="F51" s="94">
        <f t="shared" ref="F51:F68" si="0">IF($D$69&lt;&gt;0,D51/$D$69,0)</f>
        <v>0.5</v>
      </c>
      <c r="H51" s="97"/>
    </row>
    <row r="52" spans="1:8" x14ac:dyDescent="0.25">
      <c r="A52" s="39" t="str">
        <f>IF(Phases!E5="Y",Phases!B5,"")</f>
        <v>Requirements</v>
      </c>
      <c r="B52" s="93">
        <v>3</v>
      </c>
      <c r="D52" s="96">
        <v>3</v>
      </c>
      <c r="F52" s="94">
        <f t="shared" si="0"/>
        <v>0.1875</v>
      </c>
      <c r="H52" s="97"/>
    </row>
    <row r="53" spans="1:8" x14ac:dyDescent="0.25">
      <c r="A53" s="39" t="str">
        <f>IF(Phases!E6="Y",Phases!B6,"")</f>
        <v>System Test Plan</v>
      </c>
      <c r="B53" s="93">
        <v>1</v>
      </c>
      <c r="D53" s="96">
        <v>1</v>
      </c>
      <c r="F53" s="94">
        <f t="shared" si="0"/>
        <v>6.25E-2</v>
      </c>
      <c r="H53" s="97"/>
    </row>
    <row r="54" spans="1:8" x14ac:dyDescent="0.25">
      <c r="A54" s="39" t="str">
        <f>IF(Phases!E7="Y",Phases!B7,"")</f>
        <v>REQ Inspection</v>
      </c>
      <c r="B54" s="93">
        <f>B28*SUMQ!D85</f>
        <v>0</v>
      </c>
      <c r="D54" s="96">
        <v>0</v>
      </c>
      <c r="F54" s="94">
        <f t="shared" si="0"/>
        <v>0</v>
      </c>
      <c r="H54" s="97"/>
    </row>
    <row r="55" spans="1:8" x14ac:dyDescent="0.25">
      <c r="A55" s="39" t="str">
        <f>IF(Phases!E8="Y",Phases!B8,"")</f>
        <v>High-Level Design</v>
      </c>
      <c r="B55" s="93">
        <f>B29*SUMQ!D86</f>
        <v>0</v>
      </c>
      <c r="D55" s="96">
        <v>0</v>
      </c>
      <c r="F55" s="94">
        <f t="shared" si="0"/>
        <v>0</v>
      </c>
      <c r="H55" s="97"/>
    </row>
    <row r="56" spans="1:8" x14ac:dyDescent="0.25">
      <c r="A56" s="39" t="str">
        <f>IF(Phases!E9="Y",Phases!B9,"")</f>
        <v>Integration Test Plan</v>
      </c>
      <c r="B56" s="93">
        <f>B30*SUMQ!D87</f>
        <v>0</v>
      </c>
      <c r="D56" s="96">
        <v>0</v>
      </c>
      <c r="F56" s="94">
        <f t="shared" si="0"/>
        <v>0</v>
      </c>
      <c r="H56" s="97"/>
    </row>
    <row r="57" spans="1:8" x14ac:dyDescent="0.25">
      <c r="A57" s="39" t="str">
        <f>IF(Phases!E10="Y",Phases!B10,"")</f>
        <v>HLD Inspection</v>
      </c>
      <c r="B57" s="93">
        <f>B31*SUMQ!D88</f>
        <v>0</v>
      </c>
      <c r="D57" s="96">
        <v>0</v>
      </c>
      <c r="F57" s="94">
        <f t="shared" si="0"/>
        <v>0</v>
      </c>
      <c r="H57" s="97"/>
    </row>
    <row r="58" spans="1:8" x14ac:dyDescent="0.25">
      <c r="A58" s="39" t="str">
        <f>IF(Phases!E11="Y",Phases!B11,"")</f>
        <v>Detailed Design</v>
      </c>
      <c r="B58" s="93">
        <f>B32*SUMQ!D89</f>
        <v>0</v>
      </c>
      <c r="D58" s="96">
        <v>0</v>
      </c>
      <c r="F58" s="94">
        <f t="shared" si="0"/>
        <v>0</v>
      </c>
      <c r="H58" s="97"/>
    </row>
    <row r="59" spans="1:8" x14ac:dyDescent="0.25">
      <c r="A59" s="39" t="str">
        <f>IF(Phases!E12="Y",Phases!B12,"")</f>
        <v>DLD Review</v>
      </c>
      <c r="B59" s="93">
        <f>B33*SUMQ!D90</f>
        <v>0</v>
      </c>
      <c r="D59" s="96">
        <v>0</v>
      </c>
      <c r="F59" s="94">
        <f t="shared" si="0"/>
        <v>0</v>
      </c>
      <c r="H59" s="97"/>
    </row>
    <row r="60" spans="1:8" x14ac:dyDescent="0.25">
      <c r="A60" s="39" t="str">
        <f>IF(Phases!E13="Y",Phases!B13,"")</f>
        <v>Test Development</v>
      </c>
      <c r="B60" s="93">
        <f>B34*SUMQ!D91</f>
        <v>0</v>
      </c>
      <c r="D60" s="96">
        <v>0</v>
      </c>
      <c r="F60" s="94">
        <f t="shared" si="0"/>
        <v>0</v>
      </c>
      <c r="H60" s="97"/>
    </row>
    <row r="61" spans="1:8" x14ac:dyDescent="0.25">
      <c r="A61" s="39" t="str">
        <f>IF(Phases!E14="Y",Phases!B14,"")</f>
        <v>DLD Inspection</v>
      </c>
      <c r="B61" s="93">
        <f>B35*SUMQ!D92</f>
        <v>0</v>
      </c>
      <c r="D61" s="96">
        <v>0</v>
      </c>
      <c r="F61" s="94">
        <f t="shared" si="0"/>
        <v>0</v>
      </c>
      <c r="H61" s="97"/>
    </row>
    <row r="62" spans="1:8" x14ac:dyDescent="0.25">
      <c r="A62" s="39" t="str">
        <f>IF(Phases!E15="Y",Phases!B15,"")</f>
        <v>Code</v>
      </c>
      <c r="B62" s="93">
        <v>4</v>
      </c>
      <c r="D62" s="96">
        <v>4</v>
      </c>
      <c r="F62" s="94">
        <f t="shared" si="0"/>
        <v>0.25</v>
      </c>
      <c r="H62" s="97"/>
    </row>
    <row r="63" spans="1:8" x14ac:dyDescent="0.25">
      <c r="A63" s="39" t="str">
        <f>IF(Phases!E16="Y",Phases!B16,"")</f>
        <v>Code Review</v>
      </c>
      <c r="B63" s="93">
        <f>B37*SUMQ!D94</f>
        <v>0</v>
      </c>
      <c r="D63" s="96">
        <v>0</v>
      </c>
      <c r="F63" s="94">
        <f t="shared" si="0"/>
        <v>0</v>
      </c>
      <c r="H63" s="97"/>
    </row>
    <row r="64" spans="1:8" x14ac:dyDescent="0.25">
      <c r="A64" s="39" t="str">
        <f>IF(Phases!E17="Y",Phases!B17,"")</f>
        <v>Compile</v>
      </c>
      <c r="B64" s="93">
        <f>B38*SUMQ!D95</f>
        <v>0</v>
      </c>
      <c r="D64" s="96">
        <v>0</v>
      </c>
      <c r="F64" s="94">
        <f t="shared" si="0"/>
        <v>0</v>
      </c>
      <c r="H64" s="97"/>
    </row>
    <row r="65" spans="1:29" x14ac:dyDescent="0.25">
      <c r="A65" s="39" t="str">
        <f>IF(Phases!E18="Y",Phases!B18,"")</f>
        <v>Code Inspection</v>
      </c>
      <c r="B65" s="93">
        <f>B39*SUMQ!D96</f>
        <v>0</v>
      </c>
      <c r="D65" s="96">
        <v>0</v>
      </c>
      <c r="F65" s="94">
        <f t="shared" si="0"/>
        <v>0</v>
      </c>
      <c r="H65" s="97"/>
    </row>
    <row r="66" spans="1:29" x14ac:dyDescent="0.25">
      <c r="A66" s="39" t="str">
        <f>IF(Phases!E19="Y",Phases!B19,"")</f>
        <v>Unit Test</v>
      </c>
      <c r="B66" s="93">
        <f>B40*SUMQ!D97</f>
        <v>0</v>
      </c>
      <c r="D66" s="96">
        <v>0</v>
      </c>
      <c r="F66" s="94">
        <f t="shared" si="0"/>
        <v>0</v>
      </c>
      <c r="H66" s="97"/>
    </row>
    <row r="67" spans="1:29" x14ac:dyDescent="0.25">
      <c r="A67" s="39" t="str">
        <f>IF(Phases!E20="Y",Phases!B20,"")</f>
        <v>Build and Integration Test</v>
      </c>
      <c r="B67" s="93">
        <f>B41*SUMQ!D98</f>
        <v>0</v>
      </c>
      <c r="D67" s="96">
        <v>0</v>
      </c>
      <c r="F67" s="94">
        <f t="shared" si="0"/>
        <v>0</v>
      </c>
      <c r="H67" s="97"/>
    </row>
    <row r="68" spans="1:29" x14ac:dyDescent="0.25">
      <c r="A68" s="39" t="str">
        <f>IF(Phases!E21="Y",Phases!B21,"")</f>
        <v>System Test</v>
      </c>
      <c r="B68" s="93">
        <f>B42*SUMQ!D99</f>
        <v>0</v>
      </c>
      <c r="D68" s="96">
        <v>0</v>
      </c>
      <c r="F68" s="94">
        <f t="shared" si="0"/>
        <v>0</v>
      </c>
      <c r="H68" s="97"/>
    </row>
    <row r="69" spans="1:29" x14ac:dyDescent="0.25">
      <c r="A69" s="39" t="s">
        <v>443</v>
      </c>
      <c r="B69" s="93">
        <v>16</v>
      </c>
      <c r="D69" s="96">
        <v>16</v>
      </c>
      <c r="F69" s="94">
        <f>SUM(F51:F68)</f>
        <v>1</v>
      </c>
    </row>
    <row r="70" spans="1:29" x14ac:dyDescent="0.25">
      <c r="A70" s="38" t="str">
        <f>IF(Phases!F29="Y",Phases!B29,"")</f>
        <v/>
      </c>
    </row>
    <row r="71" spans="1:29" x14ac:dyDescent="0.25">
      <c r="A71" s="91" t="s">
        <v>444</v>
      </c>
      <c r="B71" s="92" t="s">
        <v>306</v>
      </c>
      <c r="D71" s="92" t="s">
        <v>307</v>
      </c>
      <c r="F71" s="92" t="s">
        <v>438</v>
      </c>
      <c r="AA71" s="33" t="s">
        <v>308</v>
      </c>
      <c r="AB71" s="33" t="s">
        <v>306</v>
      </c>
      <c r="AC71" s="33" t="s">
        <v>307</v>
      </c>
    </row>
    <row r="72" spans="1:29" x14ac:dyDescent="0.25">
      <c r="A72" s="39" t="str">
        <f>IF(Phases!F4="Y",Phases!B4,"")</f>
        <v>Planning</v>
      </c>
      <c r="B72" s="93">
        <v>10</v>
      </c>
      <c r="D72" s="96">
        <v>10</v>
      </c>
      <c r="F72" s="94">
        <f t="shared" ref="F72:F89" si="1">IF($D$90&lt;&gt;0,D72/$D$90,0)</f>
        <v>0.7142857142857143</v>
      </c>
      <c r="H72" s="97"/>
      <c r="I72" s="97"/>
      <c r="AA72" s="33" t="str">
        <f>A72</f>
        <v>Planning</v>
      </c>
      <c r="AB72" s="33">
        <f>B72</f>
        <v>10</v>
      </c>
      <c r="AC72" s="33">
        <f>D72</f>
        <v>10</v>
      </c>
    </row>
    <row r="73" spans="1:29" x14ac:dyDescent="0.25">
      <c r="A73" s="39" t="str">
        <f>IF(Phases!F5="Y",Phases!B5,"")</f>
        <v>Requirements</v>
      </c>
      <c r="B73" s="93">
        <f>(SUM($B$51:B52)-SUM($B$72:B72))*SUMQ!D56</f>
        <v>0</v>
      </c>
      <c r="D73" s="96">
        <v>0</v>
      </c>
      <c r="F73" s="94">
        <f t="shared" si="1"/>
        <v>0</v>
      </c>
      <c r="H73" s="97"/>
      <c r="I73" s="97"/>
      <c r="AA73" s="33" t="str">
        <f t="shared" ref="AA73:AA89" si="2">A73</f>
        <v>Requirements</v>
      </c>
      <c r="AB73" s="33">
        <f t="shared" ref="AB73:AB89" si="3">B73+AB72</f>
        <v>10</v>
      </c>
      <c r="AC73" s="33">
        <f t="shared" ref="AC73:AC89" si="4">D73+AC72</f>
        <v>10</v>
      </c>
    </row>
    <row r="74" spans="1:29" x14ac:dyDescent="0.25">
      <c r="A74" s="39" t="str">
        <f>IF(Phases!F6="Y",Phases!B6,"")</f>
        <v>System Test Plan</v>
      </c>
      <c r="B74" s="93">
        <f>(SUM($B$51:B53)-SUM($B$72:B73))*SUMQ!D57</f>
        <v>0</v>
      </c>
      <c r="D74" s="96">
        <v>0</v>
      </c>
      <c r="F74" s="94">
        <f t="shared" si="1"/>
        <v>0</v>
      </c>
      <c r="H74" s="97"/>
      <c r="I74" s="97"/>
      <c r="AA74" s="33" t="str">
        <f t="shared" si="2"/>
        <v>System Test Plan</v>
      </c>
      <c r="AB74" s="33">
        <f t="shared" si="3"/>
        <v>10</v>
      </c>
      <c r="AC74" s="33">
        <f t="shared" si="4"/>
        <v>10</v>
      </c>
    </row>
    <row r="75" spans="1:29" x14ac:dyDescent="0.25">
      <c r="A75" s="39" t="str">
        <f>IF(Phases!F7="Y",Phases!B7,"")</f>
        <v>REQ Inspection</v>
      </c>
      <c r="B75" s="93">
        <f>(SUM($B$51:B54)-SUM($B$72:B74))*SUMQ!D58</f>
        <v>0</v>
      </c>
      <c r="D75" s="96">
        <v>0</v>
      </c>
      <c r="F75" s="94">
        <f t="shared" si="1"/>
        <v>0</v>
      </c>
      <c r="H75" s="97"/>
      <c r="I75" s="97"/>
      <c r="AA75" s="33" t="str">
        <f t="shared" si="2"/>
        <v>REQ Inspection</v>
      </c>
      <c r="AB75" s="33">
        <f t="shared" si="3"/>
        <v>10</v>
      </c>
      <c r="AC75" s="33">
        <f t="shared" si="4"/>
        <v>10</v>
      </c>
    </row>
    <row r="76" spans="1:29" x14ac:dyDescent="0.25">
      <c r="A76" s="39" t="str">
        <f>IF(Phases!F8="Y",Phases!B8,"")</f>
        <v>High-Level Design</v>
      </c>
      <c r="B76" s="93">
        <f>(SUM($B$51:B55)-SUM($B$72:B75))*SUMQ!D59</f>
        <v>0</v>
      </c>
      <c r="D76" s="96">
        <v>0</v>
      </c>
      <c r="F76" s="94">
        <f t="shared" si="1"/>
        <v>0</v>
      </c>
      <c r="H76" s="97"/>
      <c r="I76" s="97"/>
      <c r="AA76" s="33" t="str">
        <f t="shared" si="2"/>
        <v>High-Level Design</v>
      </c>
      <c r="AB76" s="33">
        <f t="shared" si="3"/>
        <v>10</v>
      </c>
      <c r="AC76" s="33">
        <f t="shared" si="4"/>
        <v>10</v>
      </c>
    </row>
    <row r="77" spans="1:29" x14ac:dyDescent="0.25">
      <c r="A77" s="39" t="str">
        <f>IF(Phases!F9="Y",Phases!B9,"")</f>
        <v>Integration Test Plan</v>
      </c>
      <c r="B77" s="93">
        <f>(SUM($B$51:B56)-SUM($B$72:B76))*SUMQ!D60</f>
        <v>0</v>
      </c>
      <c r="D77" s="96">
        <v>0</v>
      </c>
      <c r="F77" s="94">
        <f t="shared" si="1"/>
        <v>0</v>
      </c>
      <c r="H77" s="97"/>
      <c r="I77" s="97"/>
      <c r="AA77" s="33" t="str">
        <f t="shared" si="2"/>
        <v>Integration Test Plan</v>
      </c>
      <c r="AB77" s="33">
        <f t="shared" si="3"/>
        <v>10</v>
      </c>
      <c r="AC77" s="33">
        <f t="shared" si="4"/>
        <v>10</v>
      </c>
    </row>
    <row r="78" spans="1:29" x14ac:dyDescent="0.25">
      <c r="A78" s="39" t="str">
        <f>IF(Phases!F10="Y",Phases!B10,"")</f>
        <v>HLD Inspection</v>
      </c>
      <c r="B78" s="93">
        <f>(SUM($B$51:B57)-SUM($B$72:B77))*SUMQ!D61</f>
        <v>0</v>
      </c>
      <c r="D78" s="96">
        <v>0</v>
      </c>
      <c r="F78" s="94">
        <f t="shared" si="1"/>
        <v>0</v>
      </c>
      <c r="H78" s="97"/>
      <c r="I78" s="97"/>
      <c r="AA78" s="33" t="str">
        <f t="shared" si="2"/>
        <v>HLD Inspection</v>
      </c>
      <c r="AB78" s="33">
        <f t="shared" si="3"/>
        <v>10</v>
      </c>
      <c r="AC78" s="33">
        <f t="shared" si="4"/>
        <v>10</v>
      </c>
    </row>
    <row r="79" spans="1:29" x14ac:dyDescent="0.25">
      <c r="A79" s="39" t="str">
        <f>IF(Phases!F11="Y",Phases!B11,"")</f>
        <v>Detailed Design</v>
      </c>
      <c r="B79" s="93">
        <f>(SUM($B$51:B58)-SUM($B$72:B78))*SUMQ!D62</f>
        <v>0</v>
      </c>
      <c r="D79" s="96">
        <v>0</v>
      </c>
      <c r="F79" s="94">
        <f t="shared" si="1"/>
        <v>0</v>
      </c>
      <c r="H79" s="97"/>
      <c r="I79" s="97"/>
      <c r="AA79" s="33" t="str">
        <f t="shared" si="2"/>
        <v>Detailed Design</v>
      </c>
      <c r="AB79" s="33">
        <f t="shared" si="3"/>
        <v>10</v>
      </c>
      <c r="AC79" s="33">
        <f t="shared" si="4"/>
        <v>10</v>
      </c>
    </row>
    <row r="80" spans="1:29" x14ac:dyDescent="0.25">
      <c r="A80" s="39" t="str">
        <f>IF(Phases!F12="Y",Phases!B12,"")</f>
        <v>DLD Review</v>
      </c>
      <c r="B80" s="93">
        <f>(SUM($B$51:B59)-SUM($B$72:B79))*SUMQ!D63</f>
        <v>0</v>
      </c>
      <c r="D80" s="96">
        <v>0</v>
      </c>
      <c r="F80" s="94">
        <f t="shared" si="1"/>
        <v>0</v>
      </c>
      <c r="H80" s="97"/>
      <c r="I80" s="97"/>
      <c r="AA80" s="33" t="str">
        <f t="shared" si="2"/>
        <v>DLD Review</v>
      </c>
      <c r="AB80" s="33">
        <f t="shared" si="3"/>
        <v>10</v>
      </c>
      <c r="AC80" s="33">
        <f t="shared" si="4"/>
        <v>10</v>
      </c>
    </row>
    <row r="81" spans="1:29" x14ac:dyDescent="0.25">
      <c r="A81" s="39" t="str">
        <f>IF(Phases!F13="Y",Phases!B13,"")</f>
        <v>Test Development</v>
      </c>
      <c r="B81" s="93">
        <f>(SUM($B$51:B60)-SUM($B$72:B80))*SUMQ!D64</f>
        <v>0</v>
      </c>
      <c r="D81" s="96">
        <v>0</v>
      </c>
      <c r="F81" s="94">
        <f t="shared" si="1"/>
        <v>0</v>
      </c>
      <c r="H81" s="97"/>
      <c r="I81" s="97"/>
      <c r="AA81" s="33" t="str">
        <f t="shared" si="2"/>
        <v>Test Development</v>
      </c>
      <c r="AB81" s="33">
        <f t="shared" si="3"/>
        <v>10</v>
      </c>
      <c r="AC81" s="33">
        <f t="shared" si="4"/>
        <v>10</v>
      </c>
    </row>
    <row r="82" spans="1:29" x14ac:dyDescent="0.25">
      <c r="A82" s="39" t="str">
        <f>IF(Phases!F14="Y",Phases!B14,"")</f>
        <v>DLD Inspection</v>
      </c>
      <c r="B82" s="93">
        <f>(SUM($B$51:B61)-SUM($B$72:B81))*SUMQ!D65</f>
        <v>0</v>
      </c>
      <c r="D82" s="96">
        <v>0</v>
      </c>
      <c r="F82" s="94">
        <f t="shared" si="1"/>
        <v>0</v>
      </c>
      <c r="H82" s="97"/>
      <c r="I82" s="97"/>
      <c r="AA82" s="33" t="str">
        <f t="shared" si="2"/>
        <v>DLD Inspection</v>
      </c>
      <c r="AB82" s="33">
        <f t="shared" si="3"/>
        <v>10</v>
      </c>
      <c r="AC82" s="33">
        <f t="shared" si="4"/>
        <v>10</v>
      </c>
    </row>
    <row r="83" spans="1:29" x14ac:dyDescent="0.25">
      <c r="A83" s="39" t="str">
        <f>IF(Phases!F15="Y",Phases!B15,"")</f>
        <v>Code</v>
      </c>
      <c r="B83" s="93">
        <v>4</v>
      </c>
      <c r="D83" s="96">
        <v>4</v>
      </c>
      <c r="F83" s="94">
        <f t="shared" si="1"/>
        <v>0.2857142857142857</v>
      </c>
      <c r="H83" s="97"/>
      <c r="I83" s="97"/>
      <c r="AA83" s="33" t="str">
        <f t="shared" si="2"/>
        <v>Code</v>
      </c>
      <c r="AB83" s="33">
        <f t="shared" si="3"/>
        <v>14</v>
      </c>
      <c r="AC83" s="33">
        <f t="shared" si="4"/>
        <v>14</v>
      </c>
    </row>
    <row r="84" spans="1:29" x14ac:dyDescent="0.25">
      <c r="A84" s="39" t="str">
        <f>IF(Phases!F16="Y",Phases!B16,"")</f>
        <v>Code Review</v>
      </c>
      <c r="B84" s="93">
        <f>(SUM($B$51:B63)-SUM($B$72:B83))*SUMQ!D67</f>
        <v>0</v>
      </c>
      <c r="D84" s="96">
        <v>0</v>
      </c>
      <c r="F84" s="94">
        <f t="shared" si="1"/>
        <v>0</v>
      </c>
      <c r="H84" s="97"/>
      <c r="I84" s="97"/>
      <c r="AA84" s="33" t="str">
        <f t="shared" si="2"/>
        <v>Code Review</v>
      </c>
      <c r="AB84" s="33">
        <f t="shared" si="3"/>
        <v>14</v>
      </c>
      <c r="AC84" s="33">
        <f t="shared" si="4"/>
        <v>14</v>
      </c>
    </row>
    <row r="85" spans="1:29" x14ac:dyDescent="0.25">
      <c r="A85" s="39" t="str">
        <f>IF(Phases!F17="Y",Phases!B17,"")</f>
        <v>Compile</v>
      </c>
      <c r="B85" s="93">
        <f>(SUM($B$51:B64)-SUM($B$72:B84))*SUMQ!D68</f>
        <v>0</v>
      </c>
      <c r="D85" s="96">
        <v>0</v>
      </c>
      <c r="F85" s="94">
        <f t="shared" si="1"/>
        <v>0</v>
      </c>
      <c r="H85" s="97"/>
      <c r="I85" s="97"/>
      <c r="AA85" s="33" t="str">
        <f t="shared" si="2"/>
        <v>Compile</v>
      </c>
      <c r="AB85" s="33">
        <f t="shared" si="3"/>
        <v>14</v>
      </c>
      <c r="AC85" s="33">
        <f t="shared" si="4"/>
        <v>14</v>
      </c>
    </row>
    <row r="86" spans="1:29" x14ac:dyDescent="0.25">
      <c r="A86" s="39" t="str">
        <f>IF(Phases!F18="Y",Phases!B18,"")</f>
        <v>Code Inspection</v>
      </c>
      <c r="B86" s="93">
        <f>(SUM($B$51:B65)-SUM($B$72:B85))*SUMQ!D69</f>
        <v>0</v>
      </c>
      <c r="D86" s="96">
        <v>0</v>
      </c>
      <c r="F86" s="94">
        <f t="shared" si="1"/>
        <v>0</v>
      </c>
      <c r="H86" s="97"/>
      <c r="I86" s="97"/>
      <c r="AA86" s="33" t="str">
        <f t="shared" si="2"/>
        <v>Code Inspection</v>
      </c>
      <c r="AB86" s="33">
        <f t="shared" si="3"/>
        <v>14</v>
      </c>
      <c r="AC86" s="33">
        <f t="shared" si="4"/>
        <v>14</v>
      </c>
    </row>
    <row r="87" spans="1:29" x14ac:dyDescent="0.25">
      <c r="A87" s="39" t="str">
        <f>IF(Phases!F19="Y",Phases!B19,"")</f>
        <v>Unit Test</v>
      </c>
      <c r="B87" s="93">
        <f>(SUM($B$51:B66)-SUM($B$72:B86))*SUMQ!D70</f>
        <v>0</v>
      </c>
      <c r="D87" s="96">
        <v>0</v>
      </c>
      <c r="F87" s="94">
        <f t="shared" si="1"/>
        <v>0</v>
      </c>
      <c r="H87" s="97"/>
      <c r="I87" s="97"/>
      <c r="AA87" s="33" t="str">
        <f t="shared" si="2"/>
        <v>Unit Test</v>
      </c>
      <c r="AB87" s="33">
        <f t="shared" si="3"/>
        <v>14</v>
      </c>
      <c r="AC87" s="33">
        <f t="shared" si="4"/>
        <v>14</v>
      </c>
    </row>
    <row r="88" spans="1:29" x14ac:dyDescent="0.25">
      <c r="A88" s="39" t="str">
        <f>IF(Phases!F20="Y",Phases!B20,"")</f>
        <v>Build and Integration Test</v>
      </c>
      <c r="B88" s="93">
        <f>(SUM($B$51:B67)-SUM($B$72:B87))*SUMQ!D71</f>
        <v>0</v>
      </c>
      <c r="D88" s="96">
        <v>0</v>
      </c>
      <c r="F88" s="94">
        <f t="shared" si="1"/>
        <v>0</v>
      </c>
      <c r="H88" s="97"/>
      <c r="I88" s="97"/>
      <c r="AA88" s="33" t="str">
        <f t="shared" si="2"/>
        <v>Build and Integration Test</v>
      </c>
      <c r="AB88" s="33">
        <f t="shared" si="3"/>
        <v>14</v>
      </c>
      <c r="AC88" s="33">
        <f t="shared" si="4"/>
        <v>14</v>
      </c>
    </row>
    <row r="89" spans="1:29" x14ac:dyDescent="0.25">
      <c r="A89" s="39" t="str">
        <f>IF(Phases!F21="Y",Phases!B21,"")</f>
        <v>System Test</v>
      </c>
      <c r="B89" s="93">
        <f>(SUM($B$51:B68)-SUM($B$72:B88))*SUMQ!D72</f>
        <v>0</v>
      </c>
      <c r="D89" s="96">
        <v>0</v>
      </c>
      <c r="F89" s="94">
        <f t="shared" si="1"/>
        <v>0</v>
      </c>
      <c r="H89" s="97"/>
      <c r="I89" s="97"/>
      <c r="AA89" s="33" t="str">
        <f t="shared" si="2"/>
        <v>System Test</v>
      </c>
      <c r="AB89" s="33">
        <f t="shared" si="3"/>
        <v>14</v>
      </c>
      <c r="AC89" s="33">
        <f t="shared" si="4"/>
        <v>14</v>
      </c>
    </row>
    <row r="90" spans="1:29" x14ac:dyDescent="0.25">
      <c r="A90" s="39" t="s">
        <v>445</v>
      </c>
      <c r="B90" s="93">
        <v>14</v>
      </c>
      <c r="D90" s="96">
        <v>14</v>
      </c>
      <c r="I90" s="97"/>
      <c r="AA90" s="33" t="str">
        <f>A91</f>
        <v>Acceptance Test</v>
      </c>
      <c r="AB90" s="97">
        <f>B91+AB89</f>
        <v>14</v>
      </c>
      <c r="AC90" s="97">
        <f>D91+AC89</f>
        <v>14</v>
      </c>
    </row>
    <row r="91" spans="1:29" x14ac:dyDescent="0.25">
      <c r="A91" s="39" t="s">
        <v>446</v>
      </c>
      <c r="B91" s="93">
        <f>(SUM($B$51:B68)-SUM($B$72:B89))*SUMQ!D73</f>
        <v>0</v>
      </c>
      <c r="D91" s="96">
        <v>0</v>
      </c>
      <c r="AA91" s="33" t="str">
        <f>A92</f>
        <v>Product Life</v>
      </c>
      <c r="AB91" s="97">
        <f>B92+AB90</f>
        <v>14</v>
      </c>
      <c r="AC91" s="97">
        <f>D92+AC90</f>
        <v>14</v>
      </c>
    </row>
    <row r="92" spans="1:29" x14ac:dyDescent="0.25">
      <c r="A92" s="39" t="str">
        <f>IF(Phases!F25="Y",Phases!B25,"")</f>
        <v>Product Life</v>
      </c>
      <c r="B92" s="93">
        <v>0</v>
      </c>
      <c r="D92" s="96">
        <v>0</v>
      </c>
    </row>
    <row r="94" spans="1:29" x14ac:dyDescent="0.25">
      <c r="A94" s="91" t="s">
        <v>447</v>
      </c>
      <c r="B94" s="92" t="s">
        <v>306</v>
      </c>
      <c r="D94" s="92" t="s">
        <v>307</v>
      </c>
    </row>
    <row r="95" spans="1:29" x14ac:dyDescent="0.25">
      <c r="A95" s="38" t="s">
        <v>448</v>
      </c>
      <c r="B95" s="93">
        <f>IF(B45&gt;0,B15/B45,"")</f>
        <v>11.71858216970999</v>
      </c>
      <c r="D95" s="93">
        <f>IF(D45&gt;0,D15/D45,"")</f>
        <v>11.189743589743589</v>
      </c>
    </row>
    <row r="96" spans="1:29" x14ac:dyDescent="0.25">
      <c r="A96" s="38" t="s">
        <v>449</v>
      </c>
      <c r="D96" s="93">
        <f>IF(D45&lt;&gt;0,B45/D45,"")</f>
        <v>0.95487179487179485</v>
      </c>
    </row>
    <row r="97" spans="1:4" x14ac:dyDescent="0.25">
      <c r="A97" s="38" t="s">
        <v>450</v>
      </c>
      <c r="B97" s="94">
        <f>IF(B16&lt;&gt;0,B14/B16,"")</f>
        <v>0</v>
      </c>
      <c r="D97" s="94">
        <f>IF(D16&lt;&gt;0,D14/D16,"")</f>
        <v>0</v>
      </c>
    </row>
    <row r="98" spans="1:4" x14ac:dyDescent="0.25">
      <c r="A98" s="38" t="s">
        <v>451</v>
      </c>
      <c r="B98" s="94">
        <f>IF(B15&lt;&gt;0,B17/B15,"")</f>
        <v>0</v>
      </c>
      <c r="D98" s="94">
        <f>IF(D15&lt;&gt;0,D17/D15,"")</f>
        <v>0</v>
      </c>
    </row>
  </sheetData>
  <mergeCells count="3">
    <mergeCell ref="B2:F2"/>
    <mergeCell ref="B4:F4"/>
    <mergeCell ref="B3:F3"/>
  </mergeCells>
  <dataValidations count="1">
    <dataValidation allowBlank="1" showInputMessage="1" showErrorMessage="1" promptTitle="Assembly" prompt="Select SYSTEM or the assembly to view." sqref="A4" xr:uid="{00000000-0002-0000-0900-000000000000}">
      <formula1>0</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W124"/>
  <sheetViews>
    <sheetView workbookViewId="0"/>
  </sheetViews>
  <sheetFormatPr baseColWidth="10" defaultColWidth="11.44140625" defaultRowHeight="13.2" x14ac:dyDescent="0.25"/>
  <cols>
    <col min="1" max="1" width="30.6640625" style="38" customWidth="1"/>
    <col min="2" max="2" width="8.6640625" style="38" customWidth="1"/>
    <col min="3" max="3" width="1.6640625" style="38" customWidth="1"/>
    <col min="4" max="4" width="11.44140625" style="38" customWidth="1"/>
    <col min="5" max="5" width="1.6640625" style="38" customWidth="1"/>
    <col min="6" max="6" width="8.6640625" style="38" customWidth="1"/>
    <col min="7" max="7" width="1.6640625" style="38" customWidth="1"/>
    <col min="8" max="8" width="8.109375" style="38" customWidth="1"/>
    <col min="9" max="9" width="10.109375" style="38" customWidth="1"/>
    <col min="10" max="10" width="1.6640625" style="33" customWidth="1"/>
    <col min="11" max="11" width="29.6640625" style="33" customWidth="1"/>
    <col min="12" max="12" width="5.33203125" style="33" customWidth="1"/>
    <col min="13" max="13" width="24.33203125" style="33" customWidth="1"/>
    <col min="14" max="14" width="6.109375" style="33" customWidth="1"/>
    <col min="15" max="257" width="11.44140625" style="33" customWidth="1"/>
  </cols>
  <sheetData>
    <row r="1" spans="1:10" ht="15.6" customHeight="1" x14ac:dyDescent="0.3">
      <c r="A1" s="98" t="str">
        <f>TSPProcessName&amp;" Quality Plan - Form SUMQ"</f>
        <v>TSPi Quality Plan - Form SUMQ</v>
      </c>
    </row>
    <row r="2" spans="1:10" x14ac:dyDescent="0.25">
      <c r="A2" s="88" t="s">
        <v>312</v>
      </c>
      <c r="B2" s="294" t="str">
        <f>IF(Name=0,"",Name)</f>
        <v>Catálogo de Productos de Belleza Be Beautiful</v>
      </c>
      <c r="C2" s="295"/>
      <c r="D2" s="295"/>
      <c r="E2" s="295"/>
      <c r="F2" s="295"/>
      <c r="H2" s="88" t="s">
        <v>314</v>
      </c>
      <c r="I2" s="268">
        <v>46196</v>
      </c>
      <c r="J2" s="38"/>
    </row>
    <row r="3" spans="1:10" x14ac:dyDescent="0.25">
      <c r="A3" s="88" t="s">
        <v>14</v>
      </c>
      <c r="B3" s="296" t="str">
        <f>IF(TeamName=0,"",TeamName)</f>
        <v>Subgrupo 4</v>
      </c>
      <c r="C3" s="279"/>
      <c r="D3" s="279"/>
      <c r="E3" s="279"/>
      <c r="F3" s="279"/>
      <c r="H3" s="88" t="str">
        <f>IF(Project!C5&lt;&gt;"",Project!C5,"")</f>
        <v>Instructor</v>
      </c>
      <c r="I3" s="90" t="str">
        <f>IF(InstructorName=0,"",InstructorName)</f>
        <v>Martinez, Natalia</v>
      </c>
      <c r="J3" s="38"/>
    </row>
    <row r="4" spans="1:10" x14ac:dyDescent="0.25">
      <c r="A4" s="54" t="s">
        <v>325</v>
      </c>
      <c r="B4" s="291"/>
      <c r="C4" s="292"/>
      <c r="D4" s="292"/>
      <c r="E4" s="292"/>
      <c r="F4" s="292"/>
      <c r="H4" s="88" t="s">
        <v>326</v>
      </c>
      <c r="I4" s="89" t="s">
        <v>408</v>
      </c>
      <c r="J4" s="38"/>
    </row>
    <row r="6" spans="1:10" x14ac:dyDescent="0.25">
      <c r="A6" s="91" t="s">
        <v>452</v>
      </c>
      <c r="B6" s="92"/>
      <c r="F6" s="92" t="s">
        <v>307</v>
      </c>
    </row>
    <row r="7" spans="1:10" x14ac:dyDescent="0.25">
      <c r="A7" s="39" t="str">
        <f>IF(Phases!H17="Y","In "&amp;Phases!B17,"")</f>
        <v>In Compile</v>
      </c>
      <c r="B7" s="92"/>
      <c r="C7" s="92"/>
      <c r="D7" s="92"/>
      <c r="F7" s="94">
        <v>0</v>
      </c>
    </row>
    <row r="8" spans="1:10" x14ac:dyDescent="0.25">
      <c r="A8" s="39" t="str">
        <f>IF(Phases!H19="Y","In "&amp;Phases!B19,"")</f>
        <v>In Unit Test</v>
      </c>
      <c r="B8" s="92"/>
      <c r="C8" s="92"/>
      <c r="D8" s="92"/>
      <c r="F8" s="94">
        <v>0</v>
      </c>
    </row>
    <row r="9" spans="1:10" x14ac:dyDescent="0.25">
      <c r="A9" s="39" t="str">
        <f>IF(Phases!H20="Y","In "&amp;Phases!B20,"")</f>
        <v>In Build and Integration Test</v>
      </c>
      <c r="B9" s="92"/>
      <c r="C9" s="92"/>
      <c r="D9" s="92"/>
      <c r="F9" s="94">
        <v>0</v>
      </c>
    </row>
    <row r="10" spans="1:10" x14ac:dyDescent="0.25">
      <c r="A10" s="39" t="str">
        <f>IF(Phases!H21="Y","In "&amp;Phases!B21,"")</f>
        <v>In System Test</v>
      </c>
      <c r="B10" s="92"/>
      <c r="C10" s="92"/>
      <c r="D10" s="92"/>
      <c r="F10" s="94">
        <v>0</v>
      </c>
    </row>
    <row r="11" spans="1:10" x14ac:dyDescent="0.25">
      <c r="A11" s="39" t="str">
        <f>IF(Phases!H24="Y","In "&amp;Phases!B24,"")</f>
        <v>In Acceptance Test</v>
      </c>
      <c r="B11" s="92"/>
      <c r="C11" s="92"/>
      <c r="D11" s="92"/>
      <c r="F11" s="94">
        <v>0</v>
      </c>
    </row>
    <row r="12" spans="1:10" x14ac:dyDescent="0.25">
      <c r="A12" s="39" t="str">
        <f>IF(Phases!H25="Y","In "&amp;Phases!B25,"")</f>
        <v>In Product Life</v>
      </c>
      <c r="B12" s="92"/>
      <c r="C12" s="92"/>
      <c r="D12" s="92"/>
      <c r="F12" s="94">
        <v>0</v>
      </c>
    </row>
    <row r="13" spans="1:10" ht="12.75" customHeight="1" x14ac:dyDescent="0.25">
      <c r="B13" s="92"/>
    </row>
    <row r="14" spans="1:10" x14ac:dyDescent="0.25">
      <c r="A14" s="91" t="s">
        <v>453</v>
      </c>
      <c r="B14" s="92"/>
      <c r="D14" s="92" t="s">
        <v>306</v>
      </c>
      <c r="F14" s="92" t="s">
        <v>307</v>
      </c>
    </row>
    <row r="15" spans="1:10" x14ac:dyDescent="0.25">
      <c r="A15" s="39" t="str">
        <f>IF(Phases!H7="y",Phases!B7,"")</f>
        <v>REQ Inspection</v>
      </c>
      <c r="B15" s="92"/>
      <c r="D15" s="100">
        <f>IF(SUMP!B7=0,0,SUMP!B75/SUMP!B7)</f>
        <v>0</v>
      </c>
      <c r="F15" s="100">
        <f>IF(SUMP!D7=0,0,SUMP!D75/SUMP!D7)</f>
        <v>0</v>
      </c>
    </row>
    <row r="16" spans="1:10" x14ac:dyDescent="0.25">
      <c r="A16" s="39" t="str">
        <f>IF(Phases!H10="y",Phases!B10,"")</f>
        <v>HLD Inspection</v>
      </c>
      <c r="B16" s="92"/>
      <c r="D16" s="100">
        <f>IF(SUMP!B8=0,0,SUMP!B78/SUMP!B8)</f>
        <v>0</v>
      </c>
      <c r="F16" s="100">
        <f>IF(SUMP!D8=0,0,SUMP!D78/SUMP!D8)</f>
        <v>0</v>
      </c>
    </row>
    <row r="17" spans="1:6" ht="12.75" customHeight="1" x14ac:dyDescent="0.25">
      <c r="A17" s="39"/>
      <c r="B17" s="92"/>
    </row>
    <row r="18" spans="1:6" x14ac:dyDescent="0.25">
      <c r="A18" s="91" t="s">
        <v>454</v>
      </c>
      <c r="B18" s="92"/>
      <c r="D18" s="92" t="s">
        <v>306</v>
      </c>
      <c r="F18" s="92" t="s">
        <v>307</v>
      </c>
    </row>
    <row r="19" spans="1:6" x14ac:dyDescent="0.25">
      <c r="A19" s="39" t="str">
        <f>IF(Phases!H12="y",Phases!B12,"")</f>
        <v>DLD Review</v>
      </c>
      <c r="B19" s="92"/>
      <c r="D19" s="100">
        <f>IF(SUMP!B$15=0,0,SUMP!B80/SUMP!B$15)*1000</f>
        <v>0</v>
      </c>
      <c r="F19" s="100">
        <f>IF(SUMP!D$15=0,0,SUMP!D80/SUMP!D$15)*1000</f>
        <v>0</v>
      </c>
    </row>
    <row r="20" spans="1:6" x14ac:dyDescent="0.25">
      <c r="A20" s="39" t="str">
        <f>IF(Phases!H14="y",Phases!B14,"")</f>
        <v>DLD Inspection</v>
      </c>
      <c r="B20" s="92"/>
      <c r="D20" s="100">
        <f>IF(SUMP!B$15=0,0,SUMP!B82/SUMP!B$15)*1000</f>
        <v>0</v>
      </c>
      <c r="F20" s="100">
        <f>IF(SUMP!D$15=0,0,SUMP!D82/SUMP!D$15)*1000</f>
        <v>0</v>
      </c>
    </row>
    <row r="21" spans="1:6" x14ac:dyDescent="0.25">
      <c r="A21" s="39" t="str">
        <f>IF(Phases!H16="y",Phases!B16,"")</f>
        <v>Code Review</v>
      </c>
      <c r="B21" s="92"/>
      <c r="D21" s="100">
        <f>IF(SUMP!B$15=0,0,SUMP!B84/SUMP!B$15)*1000</f>
        <v>0</v>
      </c>
      <c r="F21" s="100">
        <f>IF(SUMP!D$15=0,0,SUMP!D84/SUMP!D$15)*1000</f>
        <v>0</v>
      </c>
    </row>
    <row r="22" spans="1:6" x14ac:dyDescent="0.25">
      <c r="A22" s="39" t="str">
        <f>IF(Phases!H17="y",Phases!B17,"")</f>
        <v>Compile</v>
      </c>
      <c r="B22" s="92"/>
      <c r="D22" s="100">
        <f>IF(SUMP!B$15=0,0,SUMP!B85/SUMP!B$15)*1000</f>
        <v>0</v>
      </c>
      <c r="F22" s="100">
        <f>IF(SUMP!D$15=0,0,SUMP!D85/SUMP!D$15)*1000</f>
        <v>0</v>
      </c>
    </row>
    <row r="23" spans="1:6" x14ac:dyDescent="0.25">
      <c r="A23" s="39" t="str">
        <f>IF(Phases!H18="y",Phases!B18,"")</f>
        <v>Code Inspection</v>
      </c>
      <c r="B23" s="92"/>
      <c r="D23" s="100">
        <f>IF(SUMP!B$15=0,0,SUMP!B86/SUMP!B$15)*1000</f>
        <v>0</v>
      </c>
      <c r="F23" s="100">
        <f>IF(SUMP!D$15=0,0,SUMP!D86/SUMP!D$15)*1000</f>
        <v>0</v>
      </c>
    </row>
    <row r="24" spans="1:6" x14ac:dyDescent="0.25">
      <c r="A24" s="39" t="str">
        <f>IF(Phases!H19="y",Phases!B19,"")</f>
        <v>Unit Test</v>
      </c>
      <c r="B24" s="92"/>
      <c r="D24" s="100">
        <f>IF(SUMP!B$15=0,0,SUMP!B87/SUMP!B$15)*1000</f>
        <v>0</v>
      </c>
      <c r="F24" s="100">
        <f>IF(SUMP!D$15=0,0,SUMP!D87/SUMP!D$15)*1000</f>
        <v>0</v>
      </c>
    </row>
    <row r="25" spans="1:6" x14ac:dyDescent="0.25">
      <c r="A25" s="39" t="str">
        <f>IF(Phases!H20="y",Phases!B20,"")</f>
        <v>Build and Integration Test</v>
      </c>
      <c r="B25" s="92"/>
      <c r="D25" s="100">
        <f>IF(SUMP!B$15=0,0,SUMP!B88/SUMP!B$15)*1000</f>
        <v>0</v>
      </c>
      <c r="F25" s="100">
        <f>IF(SUMP!D$15=0,0,SUMP!D88/SUMP!D$15)*1000</f>
        <v>0</v>
      </c>
    </row>
    <row r="26" spans="1:6" x14ac:dyDescent="0.25">
      <c r="A26" s="39" t="str">
        <f>IF(Phases!H21="y",Phases!B21,"")</f>
        <v>System Test</v>
      </c>
      <c r="B26" s="92"/>
      <c r="D26" s="100">
        <f>IF(SUMP!B$15=0,0,SUMP!B89/SUMP!B$15)*1000</f>
        <v>0</v>
      </c>
      <c r="F26" s="100">
        <f>IF(SUMP!D$15=0,0,SUMP!D89/SUMP!D$15)*1000</f>
        <v>0</v>
      </c>
    </row>
    <row r="27" spans="1:6" x14ac:dyDescent="0.25">
      <c r="A27" s="39" t="s">
        <v>455</v>
      </c>
      <c r="B27" s="92"/>
      <c r="D27" s="100">
        <v>14.55</v>
      </c>
      <c r="E27" s="265"/>
      <c r="F27" s="100">
        <v>14.55</v>
      </c>
    </row>
    <row r="28" spans="1:6" x14ac:dyDescent="0.25">
      <c r="A28" s="39" t="str">
        <f>IF(Phases!H24="y",Phases!B24,"")</f>
        <v>Acceptance Test</v>
      </c>
      <c r="B28" s="92"/>
      <c r="D28" s="100">
        <f>IF(SUMP!B$15=0,0,SUMP!B91/SUMP!B$15)*1000</f>
        <v>0</v>
      </c>
      <c r="F28" s="100">
        <f>IF(SUMP!D$15=0,0,SUMP!D91/SUMP!D$15)*1000</f>
        <v>0</v>
      </c>
    </row>
    <row r="29" spans="1:6" x14ac:dyDescent="0.25">
      <c r="A29" s="39" t="str">
        <f>IF(Phases!H25="y",Phases!B25,"")</f>
        <v>Product Life</v>
      </c>
      <c r="B29" s="92"/>
      <c r="D29" s="100">
        <f>IF(SUMP!B$15=0,0,SUMP!B92/SUMP!B$15)*1000</f>
        <v>0</v>
      </c>
      <c r="F29" s="100">
        <f>IF(SUMP!D$15=0,0,SUMP!D92/SUMP!D$15)*1000</f>
        <v>0</v>
      </c>
    </row>
    <row r="30" spans="1:6" x14ac:dyDescent="0.25">
      <c r="A30" s="39" t="s">
        <v>439</v>
      </c>
      <c r="B30" s="92"/>
      <c r="D30" s="100">
        <v>14.55</v>
      </c>
      <c r="E30" s="265"/>
      <c r="F30" s="100">
        <v>14.55</v>
      </c>
    </row>
    <row r="31" spans="1:6" ht="12.75" customHeight="1" x14ac:dyDescent="0.25">
      <c r="B31" s="92"/>
    </row>
    <row r="32" spans="1:6" x14ac:dyDescent="0.25">
      <c r="A32" s="91" t="s">
        <v>228</v>
      </c>
      <c r="B32" s="92"/>
      <c r="D32" s="92" t="s">
        <v>306</v>
      </c>
      <c r="F32" s="92" t="s">
        <v>307</v>
      </c>
    </row>
    <row r="33" spans="1:6" x14ac:dyDescent="0.25">
      <c r="A33" s="39" t="str">
        <f>IF(Phases!I12&lt;&gt;"",Phases!B12&amp;"/"&amp;Phases!I12,"")</f>
        <v>DLD Review/Unit Test</v>
      </c>
      <c r="B33" s="92"/>
      <c r="D33" s="100">
        <f>IF(SUMP!B87=0,0,SUMP!B80/SUMP!B87)</f>
        <v>0</v>
      </c>
      <c r="F33" s="100">
        <f>IF(SUMP!D87=0,0,SUMP!D80/SUMP!D87)</f>
        <v>0</v>
      </c>
    </row>
    <row r="34" spans="1:6" x14ac:dyDescent="0.25">
      <c r="A34" s="39" t="str">
        <f>IF(Phases!I16&lt;&gt;"",Phases!B16&amp;"/"&amp;Phases!I16,"")</f>
        <v>Code Review/Compile</v>
      </c>
      <c r="B34" s="92"/>
      <c r="D34" s="100">
        <f>IF(SUMP!B85=0,0,SUMP!B84/SUMP!B85)</f>
        <v>0</v>
      </c>
      <c r="F34" s="100">
        <f>IF(SUMP!D85=0,0,SUMP!D84/SUMP!D85)</f>
        <v>0</v>
      </c>
    </row>
    <row r="35" spans="1:6" ht="12.75" customHeight="1" x14ac:dyDescent="0.25">
      <c r="B35" s="92"/>
    </row>
    <row r="36" spans="1:6" x14ac:dyDescent="0.25">
      <c r="A36" s="91" t="s">
        <v>232</v>
      </c>
      <c r="B36" s="92"/>
      <c r="D36" s="92" t="s">
        <v>306</v>
      </c>
      <c r="F36" s="92" t="s">
        <v>307</v>
      </c>
    </row>
    <row r="37" spans="1:6" x14ac:dyDescent="0.25">
      <c r="A37" s="39" t="str">
        <f>IF(Phases!J7&lt;&gt;"",Phases!B7&amp;"/"&amp;Phases!J7,"")</f>
        <v>REQ Inspection/Requirements</v>
      </c>
      <c r="B37" s="92"/>
      <c r="D37" s="100">
        <f>IF(SUMP!B26=0,0,SUMP!B28/SUMP!B26)</f>
        <v>0</v>
      </c>
      <c r="F37" s="100">
        <f>IF(SUMP!D26=0,0,SUMP!D28/SUMP!D26)</f>
        <v>0</v>
      </c>
    </row>
    <row r="38" spans="1:6" x14ac:dyDescent="0.25">
      <c r="A38" s="39" t="str">
        <f>IF(Phases!J10&lt;&gt;"",Phases!B10&amp;"/"&amp;Phases!J10,"")</f>
        <v>HLD Inspection/High-Level Design</v>
      </c>
      <c r="B38" s="92"/>
      <c r="D38" s="100">
        <f>IF(SUMP!B29=0,0,SUMP!B31/SUMP!B29)</f>
        <v>0</v>
      </c>
      <c r="F38" s="100">
        <f>IF(SUMP!D29=0,0,SUMP!D31/SUMP!D29)</f>
        <v>0</v>
      </c>
    </row>
    <row r="39" spans="1:6" x14ac:dyDescent="0.25">
      <c r="A39" s="39" t="str">
        <f>IF(Phases!J11&lt;&gt;"",Phases!B11&amp;"/"&amp;Phases!J11,"")</f>
        <v>Detailed Design/Code</v>
      </c>
      <c r="B39" s="92"/>
      <c r="D39" s="100">
        <f>IF(SUMP!B36=0,0,SUMP!B32/SUMP!B36)</f>
        <v>0</v>
      </c>
      <c r="F39" s="100">
        <f>IF(SUMP!D36=0,0,SUMP!D32/SUMP!D36)</f>
        <v>0</v>
      </c>
    </row>
    <row r="40" spans="1:6" x14ac:dyDescent="0.25">
      <c r="A40" s="39" t="str">
        <f>IF(Phases!J12&lt;&gt;"",Phases!B12&amp;"/"&amp;Phases!J12,"")</f>
        <v>DLD Review/Detailed Design</v>
      </c>
      <c r="B40" s="92"/>
      <c r="D40" s="100">
        <f>IF(SUMP!B32=0,0,SUMP!B33/SUMP!B32)</f>
        <v>0</v>
      </c>
      <c r="F40" s="100">
        <f>IF(SUMP!D32=0,0,SUMP!D33/SUMP!D32)</f>
        <v>0</v>
      </c>
    </row>
    <row r="41" spans="1:6" x14ac:dyDescent="0.25">
      <c r="A41" s="39" t="str">
        <f>IF(Phases!J16&lt;&gt;"",Phases!B16&amp;"/"&amp;Phases!J16,"")</f>
        <v>Code Review/Code</v>
      </c>
      <c r="B41" s="92"/>
      <c r="D41" s="100">
        <f>IF(SUMP!B36=0,0,SUMP!B37/SUMP!B36)</f>
        <v>0</v>
      </c>
      <c r="F41" s="100">
        <f>IF(SUMP!D36=0,0,SUMP!D37/SUMP!D36)</f>
        <v>0</v>
      </c>
    </row>
    <row r="42" spans="1:6" ht="12.75" customHeight="1" x14ac:dyDescent="0.25">
      <c r="A42" s="91"/>
      <c r="B42" s="92"/>
      <c r="C42" s="92"/>
      <c r="D42" s="92"/>
      <c r="E42" s="92"/>
      <c r="F42" s="92"/>
    </row>
    <row r="43" spans="1:6" x14ac:dyDescent="0.25">
      <c r="A43" s="91" t="s">
        <v>456</v>
      </c>
      <c r="B43" s="92"/>
      <c r="D43" s="92" t="s">
        <v>306</v>
      </c>
      <c r="F43" s="92" t="s">
        <v>307</v>
      </c>
    </row>
    <row r="44" spans="1:6" x14ac:dyDescent="0.25">
      <c r="A44" s="39" t="str">
        <f>IF(Phases!K7="Y",Phases!B7,"")</f>
        <v>REQ Inspection</v>
      </c>
      <c r="B44" s="92"/>
      <c r="D44" s="100">
        <f>IF(SUMP!B28=0,0,SUMP!B7/SUMP!B28)</f>
        <v>0</v>
      </c>
      <c r="F44" s="100">
        <f>IF(SUMP!D28=0,0,SUMP!D7/SUMP!D28)</f>
        <v>0</v>
      </c>
    </row>
    <row r="45" spans="1:6" x14ac:dyDescent="0.25">
      <c r="A45" s="39" t="str">
        <f>IF(Phases!K10="Y",Phases!B10,"")</f>
        <v>HLD Inspection</v>
      </c>
      <c r="B45" s="92"/>
      <c r="D45" s="100">
        <f>IF(SUMP!B31=0,0,SUMP!B8/SUMP!B31)</f>
        <v>0</v>
      </c>
      <c r="F45" s="100">
        <f>IF(SUMP!D31=0,0,SUMP!D8/SUMP!D31)</f>
        <v>0</v>
      </c>
    </row>
    <row r="46" spans="1:6" x14ac:dyDescent="0.25">
      <c r="A46" s="39" t="str">
        <f>IF(Phases!K12="Y",Phases!B12,"")</f>
        <v>DLD Review</v>
      </c>
      <c r="B46" s="92"/>
      <c r="D46" s="100">
        <f>IF(SUMP!B9=0,IF(SUMP!B33=0,0,SUMP!B15/SUMP!B33),IF(SUMP!B33=0,0,SUMP!B9/SUMP!B33))</f>
        <v>0</v>
      </c>
      <c r="F46" s="100">
        <f>IF(SUMP!D9=0,IF(SUMP!D33=0,0,SUMP!D15/SUMP!D33),IF(SUMP!D33=0,0,SUMP!D9/SUMP!D33))</f>
        <v>0</v>
      </c>
    </row>
    <row r="47" spans="1:6" x14ac:dyDescent="0.25">
      <c r="A47" s="39" t="str">
        <f>IF(Phases!K14="Y",Phases!B14,"")</f>
        <v>DLD Inspection</v>
      </c>
      <c r="B47" s="92"/>
      <c r="D47" s="100">
        <f>IF(SUMP!B9=0,IF(SUMP!B35=0,0,SUMP!B15/SUMP!B35),IF(SUMP!B35=0,0,SUMP!B9/SUMP!B35))</f>
        <v>0</v>
      </c>
      <c r="F47" s="100">
        <f>IF(SUMP!D9=0,IF(SUMP!D35=0,0,SUMP!D15/SUMP!D35),IF(SUMP!D35=0,0,SUMP!D9/SUMP!D35))</f>
        <v>0</v>
      </c>
    </row>
    <row r="48" spans="1:6" x14ac:dyDescent="0.25">
      <c r="A48" s="39" t="str">
        <f>IF(Phases!K16="Y",Phases!B16,"")</f>
        <v>Code Review</v>
      </c>
      <c r="B48" s="92"/>
      <c r="D48" s="100">
        <f>IF(SUMP!B37=0,0,SUMP!B15/SUMP!B37)</f>
        <v>0</v>
      </c>
      <c r="F48" s="100">
        <f>IF(SUMP!D37=0,0,SUMP!D15/SUMP!D37)</f>
        <v>0</v>
      </c>
    </row>
    <row r="49" spans="1:19" x14ac:dyDescent="0.25">
      <c r="A49" s="39" t="str">
        <f>IF(Phases!K18="Y",Phases!B18,"")</f>
        <v>Code Inspection</v>
      </c>
      <c r="B49" s="92"/>
      <c r="D49" s="100">
        <f>IF(SUMP!B39=0,0,SUMP!B15/SUMP!B39)</f>
        <v>0</v>
      </c>
      <c r="F49" s="100">
        <f>IF(SUMP!D39=0,0,SUMP!D15/SUMP!D39)</f>
        <v>0</v>
      </c>
    </row>
    <row r="50" spans="1:19" ht="12.75" customHeight="1" x14ac:dyDescent="0.25">
      <c r="B50" s="92"/>
    </row>
    <row r="51" spans="1:19" x14ac:dyDescent="0.25">
      <c r="A51" s="91" t="s">
        <v>457</v>
      </c>
      <c r="B51" s="92"/>
      <c r="D51" s="100">
        <f>IF((SUMP!B38+SUMP!B40)=0,0,(SUMP!B33+SUMP!B35+SUMP!B37+SUMP!B39)/(SUMP!B38+SUMP!B40))</f>
        <v>0</v>
      </c>
      <c r="F51" s="100">
        <v>0.16400000000000001</v>
      </c>
    </row>
    <row r="52" spans="1:19" ht="12.75" customHeight="1" x14ac:dyDescent="0.25">
      <c r="B52" s="92"/>
    </row>
    <row r="54" spans="1:19" x14ac:dyDescent="0.25">
      <c r="A54" s="91" t="s">
        <v>273</v>
      </c>
      <c r="D54" s="92" t="s">
        <v>306</v>
      </c>
      <c r="F54" s="92" t="s">
        <v>307</v>
      </c>
      <c r="K54" s="101" t="s">
        <v>458</v>
      </c>
      <c r="L54" s="102"/>
      <c r="M54" s="103"/>
      <c r="N54" s="2"/>
      <c r="O54" s="2"/>
      <c r="P54" s="2"/>
      <c r="Q54" s="2"/>
    </row>
    <row r="55" spans="1:19" x14ac:dyDescent="0.25">
      <c r="A55" s="39" t="str">
        <f>IF(Phases!L4="Y",Phases!B4,"")</f>
        <v>Planning</v>
      </c>
      <c r="D55" s="104"/>
      <c r="F55" s="105">
        <f>IF((SUM(SUMP!D$51:D51))=0,0,SUMP!D72/(SUM(SUMP!D$51:D51)))</f>
        <v>1.25</v>
      </c>
      <c r="K55" s="106" t="str">
        <f t="shared" ref="K55:K69" si="0">A55</f>
        <v>Planning</v>
      </c>
      <c r="L55" s="107">
        <v>0</v>
      </c>
      <c r="M55" s="103"/>
      <c r="O55" s="2"/>
      <c r="P55" s="2"/>
      <c r="Q55" s="2"/>
    </row>
    <row r="56" spans="1:19" x14ac:dyDescent="0.25">
      <c r="A56" s="39" t="str">
        <f>IF(Phases!L5="Y",Phases!B5,"")</f>
        <v>Requirements</v>
      </c>
      <c r="D56" s="104"/>
      <c r="F56" s="105">
        <f>IF((SUM(SUMP!D$51:D52)-SUM(SUMP!D$72:D72))=0,0,SUMP!D73/(SUM(SUMP!D$51:D52)-SUM(SUMP!D$72:D72)))</f>
        <v>0</v>
      </c>
      <c r="K56" s="108" t="str">
        <f t="shared" si="0"/>
        <v>Requirements</v>
      </c>
      <c r="L56" s="109">
        <v>0</v>
      </c>
      <c r="M56" s="110"/>
      <c r="O56" s="2"/>
      <c r="P56" s="2"/>
      <c r="Q56" s="2"/>
    </row>
    <row r="57" spans="1:19" x14ac:dyDescent="0.25">
      <c r="A57" s="39" t="str">
        <f>IF(Phases!L6="Y",Phases!B6,"")</f>
        <v>System Test Plan</v>
      </c>
      <c r="D57" s="104"/>
      <c r="F57" s="105">
        <f>IF((SUM(SUMP!D$51:D53)-SUM(SUMP!D$72:D73))=0,0,SUMP!D74/(SUM(SUMP!D$51:D53)-SUM(SUMP!D$72:D73)))</f>
        <v>0</v>
      </c>
      <c r="K57" s="108" t="str">
        <f t="shared" si="0"/>
        <v>System Test Plan</v>
      </c>
      <c r="L57" s="109">
        <v>0</v>
      </c>
      <c r="M57" s="110"/>
      <c r="O57" s="2"/>
      <c r="P57" s="2"/>
      <c r="Q57" s="2"/>
    </row>
    <row r="58" spans="1:19" x14ac:dyDescent="0.25">
      <c r="A58" s="39" t="str">
        <f>IF(Phases!L7="Y",Phases!B7,"")</f>
        <v>REQ Inspection</v>
      </c>
      <c r="D58" s="104"/>
      <c r="F58" s="105">
        <f>IF((SUM(SUMP!D$51:D54)-SUM(SUMP!D$72:D74))=0,0,SUMP!D75/(SUM(SUMP!D$51:D54)-SUM(SUMP!D$72:D74)))</f>
        <v>0</v>
      </c>
      <c r="K58" s="108" t="str">
        <f t="shared" si="0"/>
        <v>REQ Inspection</v>
      </c>
      <c r="L58" s="111">
        <v>0.7</v>
      </c>
      <c r="M58" s="110" t="s">
        <v>276</v>
      </c>
      <c r="P58" s="2"/>
      <c r="Q58" s="2"/>
      <c r="R58" s="39"/>
      <c r="S58" s="38"/>
    </row>
    <row r="59" spans="1:19" x14ac:dyDescent="0.25">
      <c r="A59" s="39" t="str">
        <f>IF(Phases!L8="Y",Phases!B8,"")</f>
        <v>High-Level Design</v>
      </c>
      <c r="D59" s="104"/>
      <c r="F59" s="105">
        <f>IF((SUM(SUMP!D$51:D55)-SUM(SUMP!D$72:D75))=0,0,SUMP!D76/(SUM(SUMP!D$51:D55)-SUM(SUMP!D$72:D75)))</f>
        <v>0</v>
      </c>
      <c r="K59" s="108" t="str">
        <f t="shared" si="0"/>
        <v>High-Level Design</v>
      </c>
      <c r="L59" s="109">
        <v>0</v>
      </c>
      <c r="M59" s="110"/>
      <c r="P59" s="2"/>
      <c r="Q59" s="2"/>
      <c r="R59" s="39"/>
      <c r="S59" s="38"/>
    </row>
    <row r="60" spans="1:19" x14ac:dyDescent="0.25">
      <c r="A60" s="39" t="str">
        <f>IF(Phases!L9="Y",Phases!B9,"")</f>
        <v>Integration Test Plan</v>
      </c>
      <c r="D60" s="104"/>
      <c r="F60" s="105">
        <f>IF((SUM(SUMP!D$51:D56)-SUM(SUMP!D$72:D76))=0,0,SUMP!D77/(SUM(SUMP!D$51:D56)-SUM(SUMP!D$72:D76)))</f>
        <v>0</v>
      </c>
      <c r="K60" s="108" t="str">
        <f t="shared" si="0"/>
        <v>Integration Test Plan</v>
      </c>
      <c r="L60" s="109">
        <v>0</v>
      </c>
      <c r="M60" s="110"/>
      <c r="P60" s="2"/>
      <c r="Q60" s="2"/>
      <c r="R60" s="39"/>
      <c r="S60" s="38"/>
    </row>
    <row r="61" spans="1:19" x14ac:dyDescent="0.25">
      <c r="A61" s="39" t="str">
        <f>IF(Phases!L10="Y",Phases!B10,"")</f>
        <v>HLD Inspection</v>
      </c>
      <c r="D61" s="104"/>
      <c r="F61" s="105">
        <f>IF((SUM(SUMP!D$51:D57)-SUM(SUMP!D$72:D77))=0,0,SUMP!D78/(SUM(SUMP!D$51:D57)-SUM(SUMP!D$72:D77)))</f>
        <v>0</v>
      </c>
      <c r="K61" s="108" t="str">
        <f t="shared" si="0"/>
        <v>HLD Inspection</v>
      </c>
      <c r="L61" s="111">
        <v>0.7</v>
      </c>
      <c r="M61" s="110" t="s">
        <v>278</v>
      </c>
      <c r="P61" s="2"/>
      <c r="Q61" s="2"/>
      <c r="R61" s="39"/>
      <c r="S61" s="38"/>
    </row>
    <row r="62" spans="1:19" x14ac:dyDescent="0.25">
      <c r="A62" s="39" t="str">
        <f>IF(Phases!L11="Y",Phases!B11,"")</f>
        <v>Detailed Design</v>
      </c>
      <c r="D62" s="104"/>
      <c r="F62" s="105">
        <f>IF((SUM(SUMP!D$51:D58)-SUM(SUMP!D$72:D78))=0,0,SUMP!D79/(SUM(SUMP!D$51:D58)-SUM(SUMP!D$72:D78)))</f>
        <v>0</v>
      </c>
      <c r="K62" s="108" t="str">
        <f t="shared" si="0"/>
        <v>Detailed Design</v>
      </c>
      <c r="L62" s="109">
        <v>0</v>
      </c>
      <c r="M62" s="110"/>
      <c r="P62" s="2"/>
      <c r="Q62" s="2"/>
      <c r="R62" s="39"/>
      <c r="S62" s="38"/>
    </row>
    <row r="63" spans="1:19" x14ac:dyDescent="0.25">
      <c r="A63" s="39" t="str">
        <f>IF(Phases!L12="Y",Phases!B12,"")</f>
        <v>DLD Review</v>
      </c>
      <c r="D63" s="104"/>
      <c r="F63" s="105">
        <f>IF((SUM(SUMP!D$51:D59)-SUM(SUMP!D$72:D79))=0,0,SUMP!D80/(SUM(SUMP!D$51:D59)-SUM(SUMP!D$72:D79)))</f>
        <v>0</v>
      </c>
      <c r="K63" s="108" t="str">
        <f t="shared" si="0"/>
        <v>DLD Review</v>
      </c>
      <c r="L63" s="111">
        <v>0.7</v>
      </c>
      <c r="M63" s="110" t="s">
        <v>278</v>
      </c>
      <c r="P63" s="2"/>
      <c r="Q63" s="2"/>
      <c r="R63" s="39"/>
      <c r="S63" s="38"/>
    </row>
    <row r="64" spans="1:19" x14ac:dyDescent="0.25">
      <c r="A64" s="39" t="str">
        <f>IF(Phases!L13="Y",Phases!B13,"")</f>
        <v>Test Development</v>
      </c>
      <c r="D64" s="104"/>
      <c r="F64" s="105">
        <f>IF((SUM(SUMP!D$51:D60)-SUM(SUMP!D$72:D80))=0,0,SUMP!D81/(SUM(SUMP!D$51:D60)-SUM(SUMP!D$72:D80)))</f>
        <v>0</v>
      </c>
      <c r="K64" s="108" t="str">
        <f t="shared" si="0"/>
        <v>Test Development</v>
      </c>
      <c r="L64" s="109">
        <v>0</v>
      </c>
      <c r="M64" s="110"/>
      <c r="P64" s="2"/>
      <c r="Q64" s="2"/>
      <c r="R64" s="39"/>
      <c r="S64" s="38"/>
    </row>
    <row r="65" spans="1:19" x14ac:dyDescent="0.25">
      <c r="A65" s="39" t="str">
        <f>IF(Phases!L14="Y",Phases!B14,"")</f>
        <v>DLD Inspection</v>
      </c>
      <c r="D65" s="104"/>
      <c r="F65" s="105">
        <f>IF((SUM(SUMP!D$51:D61)-SUM(SUMP!D$72:D81))=0,0,SUMP!D82/(SUM(SUMP!D$51:D61)-SUM(SUMP!D$72:D81)))</f>
        <v>0</v>
      </c>
      <c r="K65" s="108" t="str">
        <f t="shared" si="0"/>
        <v>DLD Inspection</v>
      </c>
      <c r="L65" s="111">
        <v>0.7</v>
      </c>
      <c r="M65" s="110" t="s">
        <v>278</v>
      </c>
      <c r="P65" s="2"/>
      <c r="Q65" s="2"/>
      <c r="R65" s="39"/>
      <c r="S65" s="38"/>
    </row>
    <row r="66" spans="1:19" x14ac:dyDescent="0.25">
      <c r="A66" s="39" t="str">
        <f>IF(Phases!L15="Y",Phases!B15,"")</f>
        <v>Code</v>
      </c>
      <c r="D66" s="104"/>
      <c r="F66" s="105">
        <f>IF((SUM(SUMP!D$51:D62)-SUM(SUMP!D$72:D82))=0,0,SUMP!D83/(SUM(SUMP!D$51:D62)-SUM(SUMP!D$72:D82)))</f>
        <v>0.66666666666666663</v>
      </c>
      <c r="K66" s="108" t="str">
        <f t="shared" si="0"/>
        <v>Code</v>
      </c>
      <c r="L66" s="109">
        <v>0</v>
      </c>
      <c r="M66" s="110"/>
      <c r="P66" s="2"/>
      <c r="Q66" s="2"/>
    </row>
    <row r="67" spans="1:19" x14ac:dyDescent="0.25">
      <c r="A67" s="39" t="str">
        <f>IF(Phases!L16="Y",Phases!B16,"")</f>
        <v>Code Review</v>
      </c>
      <c r="D67" s="104"/>
      <c r="F67" s="105">
        <f>IF((SUM(SUMP!D$51:D63)-SUM(SUMP!D$72:D83))=0,0,SUMP!D84/(SUM(SUMP!D$51:D63)-SUM(SUMP!D$72:D83)))</f>
        <v>0</v>
      </c>
      <c r="K67" s="108" t="str">
        <f t="shared" si="0"/>
        <v>Code Review</v>
      </c>
      <c r="L67" s="111">
        <v>0.7</v>
      </c>
      <c r="M67" s="110" t="s">
        <v>280</v>
      </c>
      <c r="P67" s="2"/>
      <c r="Q67" s="2"/>
    </row>
    <row r="68" spans="1:19" x14ac:dyDescent="0.25">
      <c r="A68" s="39" t="str">
        <f>IF(Phases!L17="Y",Phases!B17,"")</f>
        <v>Compile</v>
      </c>
      <c r="D68" s="104"/>
      <c r="F68" s="105">
        <f>IF((SUM(SUMP!D$51:D64)-SUM(SUMP!D$72:D84))=0,0,SUMP!D85/(SUM(SUMP!D$51:D64)-SUM(SUMP!D$72:D84)))</f>
        <v>0</v>
      </c>
      <c r="K68" s="108" t="str">
        <f t="shared" si="0"/>
        <v>Compile</v>
      </c>
      <c r="L68" s="111">
        <v>0.5</v>
      </c>
      <c r="M68" s="110" t="s">
        <v>283</v>
      </c>
      <c r="P68" s="2"/>
      <c r="Q68" s="2"/>
    </row>
    <row r="69" spans="1:19" x14ac:dyDescent="0.25">
      <c r="A69" s="39" t="str">
        <f>IF(Phases!L18="Y",Phases!B18,"")</f>
        <v>Code Inspection</v>
      </c>
      <c r="D69" s="104"/>
      <c r="F69" s="105">
        <f>IF((SUM(SUMP!D$51:D65)-SUM(SUMP!D$72:D85))=0,0,SUMP!D86/(SUM(SUMP!D$51:D65)-SUM(SUMP!D$72:D85)))</f>
        <v>0</v>
      </c>
      <c r="K69" s="108" t="str">
        <f t="shared" si="0"/>
        <v>Code Inspection</v>
      </c>
      <c r="L69" s="109">
        <v>0.7</v>
      </c>
      <c r="M69" s="110"/>
      <c r="P69" s="2"/>
      <c r="Q69" s="2"/>
    </row>
    <row r="70" spans="1:19" x14ac:dyDescent="0.25">
      <c r="A70" s="39" t="str">
        <f>IF(Phases!L19="Y",Phases!B19,"")</f>
        <v>Unit Test</v>
      </c>
      <c r="D70" s="104"/>
      <c r="F70" s="105">
        <f>IF((SUM(SUMP!D$51:D66)-SUM(SUMP!D$72:D86))=0,0,SUMP!D87/(SUM(SUMP!D$51:D66)-SUM(SUMP!D$72:D86)))</f>
        <v>0</v>
      </c>
      <c r="K70" s="108" t="s">
        <v>459</v>
      </c>
      <c r="L70" s="111">
        <v>0.9</v>
      </c>
      <c r="M70" s="110" t="s">
        <v>286</v>
      </c>
      <c r="P70" s="2"/>
      <c r="Q70" s="2"/>
    </row>
    <row r="71" spans="1:19" x14ac:dyDescent="0.25">
      <c r="A71" s="39" t="str">
        <f>IF(Phases!L20="Y",Phases!B20,"")</f>
        <v>Build and Integration Test</v>
      </c>
      <c r="D71" s="104"/>
      <c r="F71" s="105">
        <f>IF((SUM(SUMP!D$51:D67)-SUM(SUMP!D$72:D87))=0,0,SUMP!D88/(SUM(SUMP!D$51:D67)-SUM(SUMP!D$72:D87)))</f>
        <v>0</v>
      </c>
      <c r="K71" s="108" t="s">
        <v>460</v>
      </c>
      <c r="L71" s="111">
        <v>0.8</v>
      </c>
      <c r="M71" s="110" t="s">
        <v>289</v>
      </c>
      <c r="P71" s="2"/>
      <c r="Q71" s="2"/>
    </row>
    <row r="72" spans="1:19" x14ac:dyDescent="0.25">
      <c r="A72" s="39" t="str">
        <f>IF(Phases!L21="Y",Phases!B21,"")</f>
        <v>System Test</v>
      </c>
      <c r="D72" s="104"/>
      <c r="F72" s="105">
        <f>IF((SUM(SUMP!D$51:D68)-SUM(SUMP!D$72:D88))=0,0,SUMP!D89/(SUM(SUMP!D$51:D68)-SUM(SUMP!D$72:D88)))</f>
        <v>0</v>
      </c>
      <c r="K72" s="108" t="s">
        <v>461</v>
      </c>
      <c r="L72" s="111">
        <v>0.8</v>
      </c>
      <c r="M72" s="110" t="s">
        <v>289</v>
      </c>
      <c r="P72" s="2"/>
      <c r="Q72" s="2"/>
    </row>
    <row r="73" spans="1:19" x14ac:dyDescent="0.25">
      <c r="A73" s="39" t="s">
        <v>446</v>
      </c>
      <c r="D73" s="104"/>
      <c r="F73" s="105">
        <f>IF((SUM(SUMP!D$51:D68)-SUM(SUMP!D$72:D89))=0,0,SUMP!D91/(SUM(SUMP!D$51:D68)-SUM(SUMP!D$72:D89)))</f>
        <v>0</v>
      </c>
      <c r="K73" s="112" t="s">
        <v>462</v>
      </c>
      <c r="L73" s="113">
        <v>0.65</v>
      </c>
      <c r="M73" s="114" t="s">
        <v>292</v>
      </c>
    </row>
    <row r="74" spans="1:19" x14ac:dyDescent="0.25">
      <c r="A74" s="91" t="s">
        <v>463</v>
      </c>
      <c r="D74" s="92" t="s">
        <v>306</v>
      </c>
      <c r="F74" s="92" t="s">
        <v>307</v>
      </c>
    </row>
    <row r="75" spans="1:19" x14ac:dyDescent="0.25">
      <c r="A75" s="39" t="str">
        <f>IF(Phases!M17="Y","% Before "&amp;Phases!B17,"")</f>
        <v>% Before Compile</v>
      </c>
      <c r="D75" s="105">
        <f>IF(SUM(SUMP!B$51:B63)=0,0,SUM(SUMP!B$72:B84)/SUM(SUMP!B$51:B63))</f>
        <v>0.875</v>
      </c>
      <c r="F75" s="105">
        <v>87.5</v>
      </c>
    </row>
    <row r="76" spans="1:19" x14ac:dyDescent="0.25">
      <c r="A76" s="39" t="str">
        <f>IF(Phases!M19="Y","% Before "&amp;Phases!B19,"")</f>
        <v>% Before Unit Test</v>
      </c>
      <c r="D76" s="105">
        <f>IF(SUM(SUMP!B$51:B65)=0,0,SUM(SUMP!B$72:B86)/SUM(SUMP!B$51:B65))</f>
        <v>0.875</v>
      </c>
      <c r="F76" s="105">
        <v>87.5</v>
      </c>
    </row>
    <row r="77" spans="1:19" x14ac:dyDescent="0.25">
      <c r="A77" s="39" t="str">
        <f>IF(Phases!M20="Y","% Before "&amp;Phases!B20,"")</f>
        <v>% Before Build and Integration Test</v>
      </c>
      <c r="D77" s="105">
        <f>IF(SUM(SUMP!B$51:B66)=0,0,SUM(SUMP!B$72:B87)/SUM(SUMP!B$51:B66))</f>
        <v>0.875</v>
      </c>
      <c r="F77" s="105">
        <v>87.5</v>
      </c>
    </row>
    <row r="78" spans="1:19" x14ac:dyDescent="0.25">
      <c r="A78" s="39" t="str">
        <f>IF(Phases!M21="Y","% Before "&amp;Phases!B21,"")</f>
        <v>% Before System Test</v>
      </c>
      <c r="D78" s="105">
        <f>IF(SUM(SUMP!B$51:B67)=0,0,SUM(SUMP!B$72:B88)/SUM(SUMP!B$51:B67))</f>
        <v>0.875</v>
      </c>
      <c r="F78" s="105">
        <v>87.5</v>
      </c>
    </row>
    <row r="79" spans="1:19" x14ac:dyDescent="0.25">
      <c r="A79" s="39" t="str">
        <f>IF(Phases!M24="Y","% Before "&amp;Phases!B24,"")</f>
        <v>% Before Acceptance Test</v>
      </c>
      <c r="D79" s="105">
        <f>IF(SUMP!B69=0,0,SUMP!B90/SUMP!B69)</f>
        <v>0.875</v>
      </c>
      <c r="F79" s="105">
        <v>87.5</v>
      </c>
    </row>
    <row r="80" spans="1:19" x14ac:dyDescent="0.25">
      <c r="A80" s="91"/>
    </row>
    <row r="81" spans="1:20" x14ac:dyDescent="0.25">
      <c r="A81" s="91" t="s">
        <v>464</v>
      </c>
      <c r="D81" s="92" t="s">
        <v>306</v>
      </c>
      <c r="F81" s="92" t="s">
        <v>307</v>
      </c>
      <c r="K81" s="101" t="s">
        <v>465</v>
      </c>
      <c r="L81" s="102"/>
      <c r="M81" s="103"/>
      <c r="N81" s="2"/>
      <c r="O81" s="2"/>
    </row>
    <row r="82" spans="1:20" x14ac:dyDescent="0.25">
      <c r="A82" s="39" t="str">
        <f>IF(Phases!N4="Y",Phases!B4,"")</f>
        <v>Planning</v>
      </c>
      <c r="D82" s="115"/>
      <c r="F82" s="100">
        <f>IF(SUMP!D25=0,0,SUMP!D51/SUMP!D25)</f>
        <v>0.95238095238095233</v>
      </c>
      <c r="K82" s="106" t="str">
        <f t="shared" ref="K82:K99" si="1">A82</f>
        <v>Planning</v>
      </c>
      <c r="L82" s="116">
        <v>0</v>
      </c>
      <c r="M82" s="103"/>
      <c r="P82" s="2"/>
      <c r="Q82" s="2"/>
    </row>
    <row r="83" spans="1:20" x14ac:dyDescent="0.25">
      <c r="A83" s="39" t="str">
        <f>IF(Phases!N5="Y",Phases!B5,"")</f>
        <v>Requirements</v>
      </c>
      <c r="D83" s="115"/>
      <c r="F83" s="100">
        <f>IF(SUMP!D26=0,0,SUMP!D52/SUMP!D26)</f>
        <v>0</v>
      </c>
      <c r="K83" s="108" t="str">
        <f t="shared" si="1"/>
        <v>Requirements</v>
      </c>
      <c r="L83" s="117">
        <v>0.25</v>
      </c>
      <c r="M83" s="110" t="s">
        <v>257</v>
      </c>
      <c r="P83" s="2"/>
      <c r="Q83" s="2"/>
      <c r="S83" s="39"/>
      <c r="T83" s="38"/>
    </row>
    <row r="84" spans="1:20" x14ac:dyDescent="0.25">
      <c r="A84" s="39" t="str">
        <f>IF(Phases!N6="Y",Phases!B6,"")</f>
        <v>System Test Plan</v>
      </c>
      <c r="D84" s="115"/>
      <c r="F84" s="100">
        <f>IF(SUMP!D27=0,0,SUMP!D53/SUMP!D27)</f>
        <v>0</v>
      </c>
      <c r="K84" s="108" t="str">
        <f t="shared" si="1"/>
        <v>System Test Plan</v>
      </c>
      <c r="L84" s="117">
        <v>0</v>
      </c>
      <c r="M84" s="110"/>
      <c r="P84" s="2"/>
      <c r="Q84" s="2"/>
    </row>
    <row r="85" spans="1:20" x14ac:dyDescent="0.25">
      <c r="A85" s="39" t="str">
        <f>IF(Phases!N7="Y",Phases!B7,"")</f>
        <v>REQ Inspection</v>
      </c>
      <c r="D85" s="115"/>
      <c r="F85" s="100">
        <f>IF(SUMP!D28=0,0,SUMP!D54/SUMP!D28)</f>
        <v>0</v>
      </c>
      <c r="K85" s="108" t="str">
        <f t="shared" si="1"/>
        <v>REQ Inspection</v>
      </c>
      <c r="L85" s="117">
        <v>0</v>
      </c>
      <c r="M85" s="110"/>
      <c r="P85" s="2"/>
      <c r="Q85" s="2"/>
    </row>
    <row r="86" spans="1:20" x14ac:dyDescent="0.25">
      <c r="A86" s="39" t="str">
        <f>IF(Phases!N8="Y",Phases!B8,"")</f>
        <v>High-Level Design</v>
      </c>
      <c r="D86" s="115"/>
      <c r="F86" s="100">
        <f>IF(SUMP!D29=0,0,SUMP!D55/SUMP!D29)</f>
        <v>0</v>
      </c>
      <c r="K86" s="108" t="str">
        <f t="shared" si="1"/>
        <v>High-Level Design</v>
      </c>
      <c r="L86" s="117">
        <v>0.25</v>
      </c>
      <c r="M86" s="110" t="s">
        <v>260</v>
      </c>
      <c r="P86" s="2"/>
      <c r="Q86" s="2"/>
    </row>
    <row r="87" spans="1:20" x14ac:dyDescent="0.25">
      <c r="A87" s="39" t="str">
        <f>IF(Phases!N9="Y",Phases!B9,"")</f>
        <v>Integration Test Plan</v>
      </c>
      <c r="D87" s="115"/>
      <c r="F87" s="100">
        <f>IF(SUMP!D30=0,0,SUMP!D56/SUMP!D30)</f>
        <v>0</v>
      </c>
      <c r="K87" s="108" t="str">
        <f t="shared" si="1"/>
        <v>Integration Test Plan</v>
      </c>
      <c r="L87" s="117">
        <v>0</v>
      </c>
      <c r="M87" s="110"/>
      <c r="P87" s="2"/>
      <c r="Q87" s="2"/>
    </row>
    <row r="88" spans="1:20" x14ac:dyDescent="0.25">
      <c r="A88" s="39" t="str">
        <f>IF(Phases!N10="Y",Phases!B10,"")</f>
        <v>HLD Inspection</v>
      </c>
      <c r="D88" s="115"/>
      <c r="F88" s="100">
        <f>IF(SUMP!D31=0,0,SUMP!D57/SUMP!D31)</f>
        <v>0</v>
      </c>
      <c r="K88" s="108" t="str">
        <f t="shared" si="1"/>
        <v>HLD Inspection</v>
      </c>
      <c r="L88" s="117">
        <v>0</v>
      </c>
      <c r="M88" s="110"/>
      <c r="P88" s="2"/>
      <c r="Q88" s="2"/>
    </row>
    <row r="89" spans="1:20" x14ac:dyDescent="0.25">
      <c r="A89" s="39" t="str">
        <f>IF(Phases!N11="Y",Phases!B11,"")</f>
        <v>Detailed Design</v>
      </c>
      <c r="D89" s="115"/>
      <c r="F89" s="100">
        <f>IF(SUMP!D32=0,0,SUMP!D58/SUMP!D32)</f>
        <v>0</v>
      </c>
      <c r="K89" s="108" t="str">
        <f t="shared" si="1"/>
        <v>Detailed Design</v>
      </c>
      <c r="L89" s="117">
        <v>0.75</v>
      </c>
      <c r="M89" s="110" t="s">
        <v>263</v>
      </c>
      <c r="P89" s="2"/>
      <c r="Q89" s="2"/>
    </row>
    <row r="90" spans="1:20" x14ac:dyDescent="0.25">
      <c r="A90" s="39" t="str">
        <f>IF(Phases!N12="Y",Phases!B12,"")</f>
        <v>DLD Review</v>
      </c>
      <c r="D90" s="115"/>
      <c r="F90" s="100">
        <f>IF(SUMP!D33=0,0,SUMP!D59/SUMP!D33)</f>
        <v>0</v>
      </c>
      <c r="K90" s="108" t="str">
        <f t="shared" si="1"/>
        <v>DLD Review</v>
      </c>
      <c r="L90" s="117">
        <v>0</v>
      </c>
      <c r="M90" s="110"/>
      <c r="P90" s="2"/>
      <c r="Q90" s="2"/>
    </row>
    <row r="91" spans="1:20" x14ac:dyDescent="0.25">
      <c r="A91" s="39" t="str">
        <f>IF(Phases!N13="Y",Phases!B13,"")</f>
        <v>Test Development</v>
      </c>
      <c r="D91" s="115"/>
      <c r="F91" s="100">
        <f>IF(SUMP!D34=0,0,SUMP!D60/SUMP!D34)</f>
        <v>0</v>
      </c>
      <c r="K91" s="108" t="str">
        <f t="shared" si="1"/>
        <v>Test Development</v>
      </c>
      <c r="L91" s="117">
        <v>0</v>
      </c>
      <c r="M91" s="110"/>
      <c r="P91" s="2"/>
      <c r="Q91" s="2"/>
    </row>
    <row r="92" spans="1:20" x14ac:dyDescent="0.25">
      <c r="A92" s="39" t="str">
        <f>IF(Phases!N14="Y",Phases!B14,"")</f>
        <v>DLD Inspection</v>
      </c>
      <c r="D92" s="115"/>
      <c r="F92" s="100">
        <f>IF(SUMP!D35=0,0,SUMP!D61/SUMP!D35)</f>
        <v>0</v>
      </c>
      <c r="K92" s="108" t="str">
        <f t="shared" si="1"/>
        <v>DLD Inspection</v>
      </c>
      <c r="L92" s="117">
        <v>0</v>
      </c>
      <c r="M92" s="110"/>
      <c r="P92" s="2"/>
      <c r="Q92" s="2"/>
    </row>
    <row r="93" spans="1:20" x14ac:dyDescent="0.25">
      <c r="A93" s="39" t="str">
        <f>IF(Phases!N15="Y",Phases!B15,"")</f>
        <v>Code</v>
      </c>
      <c r="D93" s="115"/>
      <c r="F93" s="100">
        <f>IF(SUMP!D36=0,0,SUMP!D62/SUMP!D36)</f>
        <v>0.1360544217687075</v>
      </c>
      <c r="K93" s="108" t="str">
        <f t="shared" si="1"/>
        <v>Code</v>
      </c>
      <c r="L93" s="117">
        <v>2</v>
      </c>
      <c r="M93" s="110" t="s">
        <v>223</v>
      </c>
      <c r="P93" s="2"/>
      <c r="Q93" s="2"/>
    </row>
    <row r="94" spans="1:20" x14ac:dyDescent="0.25">
      <c r="A94" s="39" t="str">
        <f>IF(Phases!N16="Y",Phases!B16,"")</f>
        <v>Code Review</v>
      </c>
      <c r="D94" s="115"/>
      <c r="F94" s="100">
        <f>IF(SUMP!D37=0,0,SUMP!D63/SUMP!D37)</f>
        <v>0</v>
      </c>
      <c r="K94" s="108" t="str">
        <f t="shared" si="1"/>
        <v>Code Review</v>
      </c>
      <c r="L94" s="117">
        <v>0</v>
      </c>
      <c r="M94" s="110"/>
      <c r="P94" s="2"/>
      <c r="Q94" s="2"/>
    </row>
    <row r="95" spans="1:20" x14ac:dyDescent="0.25">
      <c r="A95" s="39" t="str">
        <f>IF(Phases!N17="Y",Phases!B17,"")</f>
        <v>Compile</v>
      </c>
      <c r="D95" s="115"/>
      <c r="F95" s="100">
        <f>IF(SUMP!D38=0,0,SUMP!D64/SUMP!D38)</f>
        <v>0</v>
      </c>
      <c r="K95" s="108" t="str">
        <f t="shared" si="1"/>
        <v>Compile</v>
      </c>
      <c r="L95" s="117">
        <v>0.3</v>
      </c>
      <c r="M95" s="110" t="s">
        <v>270</v>
      </c>
      <c r="P95" s="2"/>
      <c r="Q95" s="2"/>
    </row>
    <row r="96" spans="1:20" x14ac:dyDescent="0.25">
      <c r="A96" s="39" t="str">
        <f>IF(Phases!N18="Y",Phases!B18,"")</f>
        <v>Code Inspection</v>
      </c>
      <c r="D96" s="115"/>
      <c r="F96" s="100">
        <f>IF(SUMP!D39=0,0,SUMP!D65/SUMP!D39)</f>
        <v>0</v>
      </c>
      <c r="K96" s="108" t="str">
        <f t="shared" si="1"/>
        <v>Code Inspection</v>
      </c>
      <c r="L96" s="117">
        <v>0</v>
      </c>
      <c r="M96" s="110"/>
      <c r="P96" s="2"/>
      <c r="Q96" s="2"/>
    </row>
    <row r="97" spans="1:17" x14ac:dyDescent="0.25">
      <c r="A97" s="39" t="str">
        <f>IF(Phases!N19="Y",Phases!B19,"")</f>
        <v>Unit Test</v>
      </c>
      <c r="D97" s="115"/>
      <c r="F97" s="100">
        <f>IF(SUMP!D40=0,0,SUMP!D66/SUMP!D40)</f>
        <v>0</v>
      </c>
      <c r="K97" s="108" t="str">
        <f t="shared" si="1"/>
        <v>Unit Test</v>
      </c>
      <c r="L97" s="117">
        <v>6.7000000000000004E-2</v>
      </c>
      <c r="M97" s="110" t="s">
        <v>270</v>
      </c>
      <c r="P97" s="2"/>
      <c r="Q97" s="2"/>
    </row>
    <row r="98" spans="1:17" x14ac:dyDescent="0.25">
      <c r="A98" s="39" t="str">
        <f>IF(Phases!N20="Y",Phases!B20,"")</f>
        <v>Build and Integration Test</v>
      </c>
      <c r="D98" s="115"/>
      <c r="F98" s="100">
        <f>IF(SUMP!D41=0,0,SUMP!D67/SUMP!D41)</f>
        <v>0</v>
      </c>
      <c r="K98" s="108" t="str">
        <f t="shared" si="1"/>
        <v>Build and Integration Test</v>
      </c>
      <c r="L98" s="117">
        <v>0</v>
      </c>
      <c r="M98" s="110"/>
      <c r="P98" s="2"/>
      <c r="Q98" s="2"/>
    </row>
    <row r="99" spans="1:17" x14ac:dyDescent="0.25">
      <c r="A99" s="39" t="str">
        <f>IF(Phases!N21="Y",Phases!B21,"")</f>
        <v>System Test</v>
      </c>
      <c r="D99" s="115"/>
      <c r="F99" s="100">
        <f>IF(SUMP!D42=0,0,SUMP!D68/SUMP!D42)</f>
        <v>0</v>
      </c>
      <c r="K99" s="112" t="str">
        <f t="shared" si="1"/>
        <v>System Test</v>
      </c>
      <c r="L99" s="118">
        <v>0</v>
      </c>
      <c r="M99" s="114"/>
      <c r="P99" s="2"/>
      <c r="Q99" s="2"/>
    </row>
    <row r="101" spans="1:17" x14ac:dyDescent="0.25">
      <c r="A101" s="91" t="s">
        <v>466</v>
      </c>
      <c r="D101" s="92" t="s">
        <v>306</v>
      </c>
      <c r="F101" s="92" t="s">
        <v>307</v>
      </c>
      <c r="L101" s="38"/>
    </row>
    <row r="102" spans="1:17" x14ac:dyDescent="0.25">
      <c r="A102" s="39" t="str">
        <f>IF(Phases!O4="Y",Phases!B4,"")</f>
        <v>Planning</v>
      </c>
      <c r="D102" s="100">
        <f>IF(SUMP!B25=0,0,SUMP!B72/SUMP!B25)</f>
        <v>1.25</v>
      </c>
      <c r="F102" s="100">
        <f>IF(SUMP!D25=0,0,SUMP!D72/SUMP!D25)</f>
        <v>1.1904761904761905</v>
      </c>
      <c r="L102" s="38"/>
    </row>
    <row r="103" spans="1:17" x14ac:dyDescent="0.25">
      <c r="A103" s="39" t="str">
        <f>IF(Phases!O5="Y",Phases!B5,"")</f>
        <v>Requirements</v>
      </c>
      <c r="D103" s="100">
        <f>IF(SUMP!B26=0,0,SUMP!B73/SUMP!B26)</f>
        <v>0</v>
      </c>
      <c r="F103" s="100">
        <f>IF(SUMP!D26=0,0,SUMP!D73/SUMP!D26)</f>
        <v>0</v>
      </c>
      <c r="L103" s="38"/>
    </row>
    <row r="104" spans="1:17" x14ac:dyDescent="0.25">
      <c r="A104" s="39" t="str">
        <f>IF(Phases!O6="Y",Phases!B6,"")</f>
        <v>System Test Plan</v>
      </c>
      <c r="D104" s="100">
        <f>IF(SUMP!B27=0,0,SUMP!B74/SUMP!B27)</f>
        <v>0</v>
      </c>
      <c r="F104" s="100">
        <f>IF(SUMP!D27=0,0,SUMP!D74/SUMP!D27)</f>
        <v>0</v>
      </c>
      <c r="L104" s="38"/>
    </row>
    <row r="105" spans="1:17" x14ac:dyDescent="0.25">
      <c r="A105" s="39" t="str">
        <f>IF(Phases!O7="Y",Phases!B7,"")</f>
        <v>REQ Inspection</v>
      </c>
      <c r="D105" s="100">
        <f>IF(SUMP!B28=0,0,SUMP!B75/SUMP!B28)</f>
        <v>0</v>
      </c>
      <c r="F105" s="100">
        <f>IF(SUMP!D28=0,0,SUMP!D75/SUMP!D28)</f>
        <v>0</v>
      </c>
      <c r="L105" s="38"/>
    </row>
    <row r="106" spans="1:17" x14ac:dyDescent="0.25">
      <c r="A106" s="39" t="str">
        <f>IF(Phases!O8="Y",Phases!B8,"")</f>
        <v>High-Level Design</v>
      </c>
      <c r="D106" s="100">
        <f>IF(SUMP!B29=0,0,SUMP!B76/SUMP!B29)</f>
        <v>0</v>
      </c>
      <c r="F106" s="100">
        <f>IF(SUMP!D29=0,0,SUMP!D76/SUMP!D29)</f>
        <v>0</v>
      </c>
      <c r="L106" s="38"/>
    </row>
    <row r="107" spans="1:17" x14ac:dyDescent="0.25">
      <c r="A107" s="39" t="str">
        <f>IF(Phases!O9="Y",Phases!B9,"")</f>
        <v>Integration Test Plan</v>
      </c>
      <c r="D107" s="100">
        <f>IF(SUMP!B30=0,0,SUMP!B77/SUMP!B30)</f>
        <v>0</v>
      </c>
      <c r="F107" s="100">
        <f>IF(SUMP!D30=0,0,SUMP!D77/SUMP!D30)</f>
        <v>0</v>
      </c>
      <c r="L107" s="38"/>
    </row>
    <row r="108" spans="1:17" x14ac:dyDescent="0.25">
      <c r="A108" s="39" t="str">
        <f>IF(Phases!O10="Y",Phases!B10,"")</f>
        <v>HLD Inspection</v>
      </c>
      <c r="D108" s="100">
        <f>IF(SUMP!B31=0,0,SUMP!B78/SUMP!B31)</f>
        <v>0</v>
      </c>
      <c r="F108" s="100">
        <f>IF(SUMP!D31=0,0,SUMP!D78/SUMP!D31)</f>
        <v>0</v>
      </c>
      <c r="L108" s="38"/>
    </row>
    <row r="109" spans="1:17" x14ac:dyDescent="0.25">
      <c r="A109" s="39" t="str">
        <f>IF(Phases!O11="Y",Phases!B11,"")</f>
        <v>Detailed Design</v>
      </c>
      <c r="D109" s="100">
        <f>IF(SUMP!B32=0,0,SUMP!B79/SUMP!B32)</f>
        <v>0</v>
      </c>
      <c r="F109" s="100">
        <f>IF(SUMP!D32=0,0,SUMP!D79/SUMP!D32)</f>
        <v>0</v>
      </c>
      <c r="L109" s="38"/>
    </row>
    <row r="110" spans="1:17" x14ac:dyDescent="0.25">
      <c r="A110" s="39" t="str">
        <f>IF(Phases!O12="Y",Phases!B12,"")</f>
        <v>DLD Review</v>
      </c>
      <c r="D110" s="100">
        <f>IF(SUMP!B33=0,0,SUMP!B80/SUMP!B33)</f>
        <v>0</v>
      </c>
      <c r="F110" s="100">
        <f>IF(SUMP!D33=0,0,SUMP!D80/SUMP!D33)</f>
        <v>0</v>
      </c>
      <c r="L110" s="38"/>
    </row>
    <row r="111" spans="1:17" x14ac:dyDescent="0.25">
      <c r="A111" s="39" t="str">
        <f>IF(Phases!O13="Y",Phases!B13,"")</f>
        <v>Test Development</v>
      </c>
      <c r="D111" s="100">
        <f>IF(SUMP!B34=0,0,SUMP!B81/SUMP!B34)</f>
        <v>0</v>
      </c>
      <c r="F111" s="100">
        <f>IF(SUMP!D34=0,0,SUMP!D81/SUMP!D34)</f>
        <v>0</v>
      </c>
      <c r="L111" s="38"/>
    </row>
    <row r="112" spans="1:17" x14ac:dyDescent="0.25">
      <c r="A112" s="39" t="str">
        <f>IF(Phases!O14="Y",Phases!B14,"")</f>
        <v>DLD Inspection</v>
      </c>
      <c r="D112" s="100">
        <f>IF(SUMP!B35=0,0,SUMP!B82/SUMP!B35)</f>
        <v>0</v>
      </c>
      <c r="F112" s="100">
        <f>IF(SUMP!D35=0,0,SUMP!D82/SUMP!D35)</f>
        <v>0</v>
      </c>
      <c r="L112" s="38"/>
    </row>
    <row r="113" spans="1:12" x14ac:dyDescent="0.25">
      <c r="A113" s="39" t="str">
        <f>IF(Phases!O15="Y",Phases!B15,"")</f>
        <v>Code</v>
      </c>
      <c r="D113" s="100">
        <f>IF(SUMP!B36=0,0,SUMP!B83/SUMP!B36)</f>
        <v>0.14285714285714285</v>
      </c>
      <c r="F113" s="100">
        <f>IF(SUMP!D36=0,0,SUMP!D83/SUMP!D36)</f>
        <v>0.1360544217687075</v>
      </c>
      <c r="L113" s="38"/>
    </row>
    <row r="114" spans="1:12" x14ac:dyDescent="0.25">
      <c r="A114" s="39" t="str">
        <f>IF(Phases!O16="Y",Phases!B16,"")</f>
        <v>Code Review</v>
      </c>
      <c r="D114" s="100">
        <f>IF(SUMP!B37=0,0,SUMP!B84/SUMP!B37)</f>
        <v>0</v>
      </c>
      <c r="F114" s="100">
        <f>IF(SUMP!D37=0,0,SUMP!D84/SUMP!D37)</f>
        <v>0</v>
      </c>
      <c r="L114" s="38"/>
    </row>
    <row r="115" spans="1:12" x14ac:dyDescent="0.25">
      <c r="A115" s="39" t="str">
        <f>IF(Phases!O17="Y",Phases!B17,"")</f>
        <v>Compile</v>
      </c>
      <c r="D115" s="100">
        <f>IF(SUMP!B38=0,0,SUMP!B85/SUMP!B38)</f>
        <v>0</v>
      </c>
      <c r="F115" s="100">
        <f>IF(SUMP!D38=0,0,SUMP!D85/SUMP!D38)</f>
        <v>0</v>
      </c>
      <c r="L115" s="38"/>
    </row>
    <row r="116" spans="1:12" x14ac:dyDescent="0.25">
      <c r="A116" s="39" t="str">
        <f>IF(Phases!O18="Y",Phases!B18,"")</f>
        <v>Code Inspection</v>
      </c>
      <c r="D116" s="100">
        <f>IF(SUMP!B39=0,0,SUMP!B86/SUMP!B39)</f>
        <v>0</v>
      </c>
      <c r="F116" s="100">
        <f>IF(SUMP!D39=0,0,SUMP!D86/SUMP!D39)</f>
        <v>0</v>
      </c>
      <c r="L116" s="38"/>
    </row>
    <row r="117" spans="1:12" x14ac:dyDescent="0.25">
      <c r="A117" s="39" t="str">
        <f>IF(Phases!O19="Y",Phases!B19,"")</f>
        <v>Unit Test</v>
      </c>
      <c r="D117" s="100">
        <f>IF(SUMP!B40=0,0,SUMP!B87/SUMP!B40)</f>
        <v>0</v>
      </c>
      <c r="F117" s="100">
        <f>IF(SUMP!D40=0,0,SUMP!D87/SUMP!D40)</f>
        <v>0</v>
      </c>
      <c r="L117" s="38"/>
    </row>
    <row r="118" spans="1:12" x14ac:dyDescent="0.25">
      <c r="A118" s="39" t="str">
        <f>IF(Phases!O20="Y",Phases!B20,"")</f>
        <v>Build and Integration Test</v>
      </c>
      <c r="D118" s="100">
        <f>IF(SUMP!B41=0,0,SUMP!B88/SUMP!B41)</f>
        <v>0</v>
      </c>
      <c r="F118" s="100">
        <f>IF(SUMP!D41=0,0,SUMP!D88/SUMP!D41)</f>
        <v>0</v>
      </c>
      <c r="L118" s="38"/>
    </row>
    <row r="119" spans="1:12" x14ac:dyDescent="0.25">
      <c r="A119" s="39" t="str">
        <f>IF(Phases!O21="Y",Phases!B21,"")</f>
        <v>System Test</v>
      </c>
      <c r="D119" s="100">
        <f>IF(SUMP!B42=0,0,SUMP!B89/SUMP!B42)</f>
        <v>0</v>
      </c>
      <c r="F119" s="100">
        <f>IF(SUMP!D42=0,0,SUMP!D89/SUMP!D42)</f>
        <v>0</v>
      </c>
      <c r="L119" s="38"/>
    </row>
    <row r="120" spans="1:12" x14ac:dyDescent="0.25">
      <c r="L120" s="38"/>
    </row>
    <row r="121" spans="1:12" x14ac:dyDescent="0.25">
      <c r="L121" s="38"/>
    </row>
    <row r="122" spans="1:12" x14ac:dyDescent="0.25">
      <c r="L122" s="38"/>
    </row>
    <row r="123" spans="1:12" x14ac:dyDescent="0.25">
      <c r="L123" s="38"/>
    </row>
    <row r="124" spans="1:12" x14ac:dyDescent="0.25">
      <c r="L124" s="38"/>
    </row>
  </sheetData>
  <mergeCells count="3">
    <mergeCell ref="B2:F2"/>
    <mergeCell ref="B4:F4"/>
    <mergeCell ref="B3:F3"/>
  </mergeCells>
  <dataValidations count="3">
    <dataValidation allowBlank="1" showInputMessage="1" showErrorMessage="1" promptTitle="Assembly" prompt="Select SYSTEM or the assembly to view." sqref="A4" xr:uid="{00000000-0002-0000-0A00-000000000000}">
      <formula1>0</formula1>
      <formula2>0</formula2>
    </dataValidation>
    <dataValidation allowBlank="1" showInputMessage="1" showErrorMessage="1" promptTitle="Planned Phase Yields" prompt="Enter the planned yield for each phase. See the phase yield table to the right for planning guidelines." sqref="D54" xr:uid="{00000000-0002-0000-0A00-000001000000}">
      <formula1>0</formula1>
      <formula2>0</formula2>
    </dataValidation>
    <dataValidation allowBlank="1" showInputMessage="1" showErrorMessage="1" promptTitle="Planned Defect Injection Rates" prompt="Enter the planned defect injection rate for each phase. See the table to the right for defect injection rate planning guidelines." sqref="D81" xr:uid="{00000000-0002-0000-0A00-000002000000}">
      <formula1>0</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W23"/>
  <sheetViews>
    <sheetView workbookViewId="0"/>
  </sheetViews>
  <sheetFormatPr baseColWidth="10" defaultColWidth="11.44140625" defaultRowHeight="13.2" x14ac:dyDescent="0.25"/>
  <cols>
    <col min="1" max="1" width="4.6640625" style="119" customWidth="1"/>
    <col min="2" max="2" width="52.88671875" style="13" customWidth="1"/>
    <col min="3" max="3" width="4.6640625" style="120" customWidth="1"/>
    <col min="4" max="5" width="20.6640625" style="121" customWidth="1"/>
    <col min="6" max="6" width="9.6640625" style="121" customWidth="1"/>
    <col min="7" max="11" width="5.6640625" style="13" customWidth="1"/>
    <col min="12" max="13" width="5.6640625" style="119" customWidth="1"/>
    <col min="14" max="19" width="5.6640625" style="13" customWidth="1"/>
    <col min="20" max="21" width="5.6640625" style="119" customWidth="1"/>
    <col min="22" max="42" width="5.6640625" style="13" customWidth="1"/>
    <col min="43" max="102" width="4.6640625" style="119" customWidth="1"/>
    <col min="103" max="146" width="5.6640625" style="119" customWidth="1"/>
    <col min="147" max="147" width="8.6640625" style="122" customWidth="1"/>
    <col min="148" max="148" width="5.6640625" style="119" customWidth="1"/>
    <col min="149" max="257" width="11.44140625" style="123" customWidth="1"/>
  </cols>
  <sheetData>
    <row r="1" spans="1:148" ht="15" customHeight="1" x14ac:dyDescent="0.3">
      <c r="B1" s="124" t="str">
        <f>TSPProcessName&amp;" Size Summary - Form SUMS"</f>
        <v>TSPi Size Summary - Form SUMS</v>
      </c>
      <c r="C1" s="125"/>
      <c r="D1" s="126"/>
      <c r="E1" s="126"/>
      <c r="F1" s="126"/>
      <c r="EQ1" s="127"/>
    </row>
    <row r="2" spans="1:148" x14ac:dyDescent="0.25">
      <c r="B2" s="128" t="s">
        <v>312</v>
      </c>
      <c r="C2" s="289" t="str">
        <f>IF(Name=0,"",Name)</f>
        <v>Catálogo de Productos de Belleza Be Beautiful</v>
      </c>
      <c r="D2" s="290"/>
      <c r="E2" s="290"/>
      <c r="F2" s="128"/>
      <c r="EQ2" s="129"/>
    </row>
    <row r="3" spans="1:148" x14ac:dyDescent="0.25">
      <c r="B3" s="128" t="s">
        <v>14</v>
      </c>
      <c r="C3" s="294" t="str">
        <f>IF(TeamName=0,"",TeamName)</f>
        <v>Subgrupo 4</v>
      </c>
      <c r="D3" s="295"/>
      <c r="E3" s="295"/>
      <c r="F3" s="128"/>
      <c r="EQ3" s="129"/>
    </row>
    <row r="4" spans="1:148" x14ac:dyDescent="0.25">
      <c r="B4" s="128" t="s">
        <v>314</v>
      </c>
      <c r="C4" s="297">
        <v>46196</v>
      </c>
      <c r="D4" s="295"/>
      <c r="E4" s="295"/>
      <c r="F4" s="128"/>
      <c r="EQ4" s="129"/>
    </row>
    <row r="5" spans="1:148" x14ac:dyDescent="0.25">
      <c r="A5" s="128"/>
      <c r="B5" s="128" t="str">
        <f>IF(Project!C5&lt;&gt;"",Project!C5,"")</f>
        <v>Instructor</v>
      </c>
      <c r="C5" s="294" t="str">
        <f>IF(InstructorName=0,"",InstructorName)</f>
        <v>Martinez, Natalia</v>
      </c>
      <c r="D5" s="295"/>
      <c r="E5" s="295"/>
      <c r="F5" s="128"/>
      <c r="EQ5" s="129"/>
    </row>
    <row r="6" spans="1:148" x14ac:dyDescent="0.25">
      <c r="A6" s="128"/>
      <c r="B6" s="128" t="s">
        <v>326</v>
      </c>
      <c r="C6" s="294" t="s">
        <v>408</v>
      </c>
      <c r="D6" s="295"/>
      <c r="E6" s="295"/>
      <c r="F6" s="128"/>
      <c r="G6" s="130" t="s">
        <v>467</v>
      </c>
      <c r="O6" s="130" t="s">
        <v>468</v>
      </c>
      <c r="W6" s="130" t="s">
        <v>469</v>
      </c>
      <c r="AQ6" s="130" t="s">
        <v>470</v>
      </c>
      <c r="BK6" s="130" t="s">
        <v>471</v>
      </c>
      <c r="CE6" s="130" t="s">
        <v>472</v>
      </c>
      <c r="CY6" s="130" t="s">
        <v>473</v>
      </c>
      <c r="DU6" s="130" t="s">
        <v>474</v>
      </c>
      <c r="EQ6" s="129"/>
    </row>
    <row r="7" spans="1:148" ht="78" customHeight="1" x14ac:dyDescent="0.25">
      <c r="A7" s="131" t="s">
        <v>356</v>
      </c>
      <c r="B7" s="131" t="s">
        <v>475</v>
      </c>
      <c r="C7" s="132" t="s">
        <v>476</v>
      </c>
      <c r="D7" s="131" t="s">
        <v>477</v>
      </c>
      <c r="E7" s="133" t="s">
        <v>478</v>
      </c>
      <c r="F7" s="133" t="s">
        <v>479</v>
      </c>
      <c r="G7" s="131" t="s">
        <v>480</v>
      </c>
      <c r="H7" s="131" t="s">
        <v>481</v>
      </c>
      <c r="I7" s="131" t="s">
        <v>482</v>
      </c>
      <c r="J7" s="131" t="s">
        <v>483</v>
      </c>
      <c r="K7" s="131" t="s">
        <v>484</v>
      </c>
      <c r="L7" s="131" t="s">
        <v>485</v>
      </c>
      <c r="M7" s="131" t="s">
        <v>486</v>
      </c>
      <c r="N7" s="131" t="s">
        <v>487</v>
      </c>
      <c r="O7" s="131" t="s">
        <v>480</v>
      </c>
      <c r="P7" s="131" t="s">
        <v>481</v>
      </c>
      <c r="Q7" s="131" t="s">
        <v>482</v>
      </c>
      <c r="R7" s="131" t="s">
        <v>483</v>
      </c>
      <c r="S7" s="131" t="s">
        <v>484</v>
      </c>
      <c r="T7" s="131" t="s">
        <v>485</v>
      </c>
      <c r="U7" s="131" t="s">
        <v>486</v>
      </c>
      <c r="V7" s="131" t="s">
        <v>487</v>
      </c>
      <c r="W7" s="131" t="s">
        <v>320</v>
      </c>
      <c r="X7" s="131" t="s">
        <v>186</v>
      </c>
      <c r="Y7" s="131" t="s">
        <v>328</v>
      </c>
      <c r="Z7" s="131" t="s">
        <v>333</v>
      </c>
      <c r="AA7" s="131" t="s">
        <v>190</v>
      </c>
      <c r="AB7" s="131" t="s">
        <v>336</v>
      </c>
      <c r="AC7" s="131" t="s">
        <v>338</v>
      </c>
      <c r="AD7" s="131" t="s">
        <v>340</v>
      </c>
      <c r="AE7" s="131" t="s">
        <v>342</v>
      </c>
      <c r="AF7" s="131" t="s">
        <v>344</v>
      </c>
      <c r="AG7" s="131" t="s">
        <v>346</v>
      </c>
      <c r="AH7" s="131" t="s">
        <v>347</v>
      </c>
      <c r="AI7" s="131" t="s">
        <v>348</v>
      </c>
      <c r="AJ7" s="131" t="s">
        <v>349</v>
      </c>
      <c r="AK7" s="131" t="s">
        <v>350</v>
      </c>
      <c r="AL7" s="131" t="s">
        <v>351</v>
      </c>
      <c r="AM7" s="131" t="s">
        <v>352</v>
      </c>
      <c r="AN7" s="131" t="s">
        <v>353</v>
      </c>
      <c r="AO7" s="131" t="s">
        <v>446</v>
      </c>
      <c r="AP7" s="131" t="s">
        <v>343</v>
      </c>
      <c r="AQ7" s="131" t="s">
        <v>320</v>
      </c>
      <c r="AR7" s="131" t="s">
        <v>186</v>
      </c>
      <c r="AS7" s="131" t="s">
        <v>328</v>
      </c>
      <c r="AT7" s="131" t="s">
        <v>333</v>
      </c>
      <c r="AU7" s="131" t="s">
        <v>190</v>
      </c>
      <c r="AV7" s="131" t="s">
        <v>336</v>
      </c>
      <c r="AW7" s="131" t="s">
        <v>338</v>
      </c>
      <c r="AX7" s="131" t="s">
        <v>340</v>
      </c>
      <c r="AY7" s="131" t="s">
        <v>342</v>
      </c>
      <c r="AZ7" s="131" t="s">
        <v>344</v>
      </c>
      <c r="BA7" s="131" t="s">
        <v>346</v>
      </c>
      <c r="BB7" s="131" t="s">
        <v>347</v>
      </c>
      <c r="BC7" s="131" t="s">
        <v>348</v>
      </c>
      <c r="BD7" s="131" t="s">
        <v>349</v>
      </c>
      <c r="BE7" s="131" t="s">
        <v>350</v>
      </c>
      <c r="BF7" s="131" t="s">
        <v>351</v>
      </c>
      <c r="BG7" s="131" t="s">
        <v>352</v>
      </c>
      <c r="BH7" s="131" t="s">
        <v>353</v>
      </c>
      <c r="BI7" s="131" t="s">
        <v>446</v>
      </c>
      <c r="BJ7" s="131" t="s">
        <v>343</v>
      </c>
      <c r="BK7" s="131" t="s">
        <v>320</v>
      </c>
      <c r="BL7" s="131" t="s">
        <v>186</v>
      </c>
      <c r="BM7" s="131" t="s">
        <v>328</v>
      </c>
      <c r="BN7" s="131" t="s">
        <v>333</v>
      </c>
      <c r="BO7" s="131" t="s">
        <v>190</v>
      </c>
      <c r="BP7" s="131" t="s">
        <v>336</v>
      </c>
      <c r="BQ7" s="131" t="s">
        <v>338</v>
      </c>
      <c r="BR7" s="131" t="s">
        <v>340</v>
      </c>
      <c r="BS7" s="131" t="s">
        <v>342</v>
      </c>
      <c r="BT7" s="131" t="s">
        <v>344</v>
      </c>
      <c r="BU7" s="131" t="s">
        <v>346</v>
      </c>
      <c r="BV7" s="131" t="s">
        <v>347</v>
      </c>
      <c r="BW7" s="131" t="s">
        <v>348</v>
      </c>
      <c r="BX7" s="131" t="s">
        <v>349</v>
      </c>
      <c r="BY7" s="131" t="s">
        <v>350</v>
      </c>
      <c r="BZ7" s="131" t="s">
        <v>351</v>
      </c>
      <c r="CA7" s="131" t="s">
        <v>352</v>
      </c>
      <c r="CB7" s="131" t="s">
        <v>353</v>
      </c>
      <c r="CC7" s="131" t="s">
        <v>446</v>
      </c>
      <c r="CD7" s="131" t="s">
        <v>343</v>
      </c>
      <c r="CE7" s="131" t="s">
        <v>320</v>
      </c>
      <c r="CF7" s="131" t="s">
        <v>186</v>
      </c>
      <c r="CG7" s="131" t="s">
        <v>328</v>
      </c>
      <c r="CH7" s="131" t="s">
        <v>333</v>
      </c>
      <c r="CI7" s="131" t="s">
        <v>190</v>
      </c>
      <c r="CJ7" s="131" t="s">
        <v>336</v>
      </c>
      <c r="CK7" s="131" t="s">
        <v>338</v>
      </c>
      <c r="CL7" s="131" t="s">
        <v>340</v>
      </c>
      <c r="CM7" s="131" t="s">
        <v>342</v>
      </c>
      <c r="CN7" s="131" t="s">
        <v>344</v>
      </c>
      <c r="CO7" s="131" t="s">
        <v>346</v>
      </c>
      <c r="CP7" s="131" t="s">
        <v>347</v>
      </c>
      <c r="CQ7" s="131" t="s">
        <v>348</v>
      </c>
      <c r="CR7" s="131" t="s">
        <v>349</v>
      </c>
      <c r="CS7" s="131" t="s">
        <v>350</v>
      </c>
      <c r="CT7" s="131" t="s">
        <v>351</v>
      </c>
      <c r="CU7" s="131" t="s">
        <v>352</v>
      </c>
      <c r="CV7" s="131" t="s">
        <v>353</v>
      </c>
      <c r="CW7" s="131" t="s">
        <v>446</v>
      </c>
      <c r="CX7" s="131" t="s">
        <v>343</v>
      </c>
      <c r="CY7" s="131" t="str">
        <f>Phases!$B$2</f>
        <v>Management and Miscellaneous</v>
      </c>
      <c r="CZ7" s="131" t="str">
        <f>Phases!$B$3</f>
        <v>Launch and Strategy</v>
      </c>
      <c r="DA7" s="131" t="str">
        <f>Phases!$B$4</f>
        <v>Planning</v>
      </c>
      <c r="DB7" s="131" t="str">
        <f>Phases!$B$5</f>
        <v>Requirements</v>
      </c>
      <c r="DC7" s="131" t="str">
        <f>Phases!$B$6</f>
        <v>System Test Plan</v>
      </c>
      <c r="DD7" s="131" t="str">
        <f>Phases!$B$7</f>
        <v>REQ Inspection</v>
      </c>
      <c r="DE7" s="131" t="str">
        <f>Phases!$B$8</f>
        <v>High-Level Design</v>
      </c>
      <c r="DF7" s="131" t="str">
        <f>Phases!$B$9</f>
        <v>Integration Test Plan</v>
      </c>
      <c r="DG7" s="131" t="str">
        <f>Phases!$B$10</f>
        <v>HLD Inspection</v>
      </c>
      <c r="DH7" s="131" t="str">
        <f>Phases!$B$11</f>
        <v>Detailed Design</v>
      </c>
      <c r="DI7" s="131" t="str">
        <f>Phases!$B$12</f>
        <v>DLD Review</v>
      </c>
      <c r="DJ7" s="131" t="str">
        <f>Phases!$B$13</f>
        <v>Test Development</v>
      </c>
      <c r="DK7" s="131" t="str">
        <f>Phases!$B$14</f>
        <v>DLD Inspection</v>
      </c>
      <c r="DL7" s="131" t="str">
        <f>Phases!$B$15</f>
        <v>Code</v>
      </c>
      <c r="DM7" s="131" t="str">
        <f>Phases!$B$16</f>
        <v>Code Review</v>
      </c>
      <c r="DN7" s="131" t="str">
        <f>Phases!$B$17</f>
        <v>Compile</v>
      </c>
      <c r="DO7" s="131" t="str">
        <f>Phases!$B$18</f>
        <v>Code Inspection</v>
      </c>
      <c r="DP7" s="131" t="str">
        <f>Phases!$B$19</f>
        <v>Unit Test</v>
      </c>
      <c r="DQ7" s="131" t="str">
        <f>Phases!$B$20</f>
        <v>Build and Integration Test</v>
      </c>
      <c r="DR7" s="131" t="str">
        <f>Phases!$B$21</f>
        <v>System Test</v>
      </c>
      <c r="DS7" s="131" t="str">
        <f>Phases!$B$22</f>
        <v>Documentation</v>
      </c>
      <c r="DT7" s="131" t="str">
        <f>Phases!$B$23</f>
        <v>Postmortem</v>
      </c>
      <c r="DU7" s="131" t="str">
        <f>Phases!$B$2</f>
        <v>Management and Miscellaneous</v>
      </c>
      <c r="DV7" s="131" t="str">
        <f>Phases!$B$3</f>
        <v>Launch and Strategy</v>
      </c>
      <c r="DW7" s="131" t="str">
        <f>Phases!$B$4</f>
        <v>Planning</v>
      </c>
      <c r="DX7" s="131" t="str">
        <f>Phases!$B$5</f>
        <v>Requirements</v>
      </c>
      <c r="DY7" s="131" t="str">
        <f>Phases!$B$6</f>
        <v>System Test Plan</v>
      </c>
      <c r="DZ7" s="131" t="str">
        <f>Phases!$B$7</f>
        <v>REQ Inspection</v>
      </c>
      <c r="EA7" s="131" t="str">
        <f>Phases!$B$8</f>
        <v>High-Level Design</v>
      </c>
      <c r="EB7" s="131" t="str">
        <f>Phases!$B$9</f>
        <v>Integration Test Plan</v>
      </c>
      <c r="EC7" s="131" t="str">
        <f>Phases!$B$10</f>
        <v>HLD Inspection</v>
      </c>
      <c r="ED7" s="131" t="str">
        <f>Phases!$B$11</f>
        <v>Detailed Design</v>
      </c>
      <c r="EE7" s="131" t="str">
        <f>Phases!$B$12</f>
        <v>DLD Review</v>
      </c>
      <c r="EF7" s="131" t="str">
        <f>Phases!$B$13</f>
        <v>Test Development</v>
      </c>
      <c r="EG7" s="131" t="str">
        <f>Phases!$B$14</f>
        <v>DLD Inspection</v>
      </c>
      <c r="EH7" s="131" t="str">
        <f>Phases!$B$15</f>
        <v>Code</v>
      </c>
      <c r="EI7" s="131" t="str">
        <f>Phases!$B$16</f>
        <v>Code Review</v>
      </c>
      <c r="EJ7" s="131" t="str">
        <f>Phases!$B$17</f>
        <v>Compile</v>
      </c>
      <c r="EK7" s="131" t="str">
        <f>Phases!$B$18</f>
        <v>Code Inspection</v>
      </c>
      <c r="EL7" s="131" t="str">
        <f>Phases!$B$19</f>
        <v>Unit Test</v>
      </c>
      <c r="EM7" s="131" t="str">
        <f>Phases!$B$20</f>
        <v>Build and Integration Test</v>
      </c>
      <c r="EN7" s="131" t="str">
        <f>Phases!$B$21</f>
        <v>System Test</v>
      </c>
      <c r="EO7" s="131" t="str">
        <f>Phases!$B$22</f>
        <v>Documentation</v>
      </c>
      <c r="EP7" s="131" t="str">
        <f>Phases!$B$23</f>
        <v>Postmortem</v>
      </c>
      <c r="EQ7" s="134" t="s">
        <v>488</v>
      </c>
      <c r="ER7" s="131" t="s">
        <v>489</v>
      </c>
    </row>
    <row r="8" spans="1:148" x14ac:dyDescent="0.25">
      <c r="A8" t="s">
        <v>490</v>
      </c>
      <c r="B8" t="s">
        <v>491</v>
      </c>
      <c r="C8" t="s">
        <v>492</v>
      </c>
      <c r="D8" t="s">
        <v>493</v>
      </c>
      <c r="E8" t="s">
        <v>494</v>
      </c>
      <c r="F8" t="s">
        <v>495</v>
      </c>
      <c r="G8" s="264">
        <v>0</v>
      </c>
      <c r="H8" s="264">
        <v>0</v>
      </c>
      <c r="I8" s="264">
        <v>0</v>
      </c>
      <c r="J8" s="264">
        <v>36</v>
      </c>
      <c r="K8" s="264">
        <v>0</v>
      </c>
      <c r="L8" s="264">
        <v>36</v>
      </c>
      <c r="M8" s="264">
        <v>36</v>
      </c>
      <c r="N8" s="264">
        <v>0</v>
      </c>
      <c r="O8" s="264">
        <v>0</v>
      </c>
      <c r="P8" s="264">
        <v>0</v>
      </c>
      <c r="Q8" s="264">
        <v>0</v>
      </c>
      <c r="R8" s="264">
        <v>36</v>
      </c>
      <c r="S8" s="264">
        <v>0</v>
      </c>
      <c r="T8" s="264">
        <v>36</v>
      </c>
      <c r="U8" s="264">
        <v>36</v>
      </c>
      <c r="V8" s="264">
        <v>0</v>
      </c>
    </row>
    <row r="9" spans="1:148" x14ac:dyDescent="0.25">
      <c r="A9" t="s">
        <v>496</v>
      </c>
      <c r="B9" t="s">
        <v>497</v>
      </c>
      <c r="C9" t="s">
        <v>492</v>
      </c>
      <c r="D9" t="s">
        <v>493</v>
      </c>
      <c r="E9" t="s">
        <v>498</v>
      </c>
      <c r="F9" t="s">
        <v>495</v>
      </c>
      <c r="G9" s="264">
        <v>0</v>
      </c>
      <c r="H9" s="264">
        <v>0</v>
      </c>
      <c r="I9" s="264">
        <v>0</v>
      </c>
      <c r="J9" s="264">
        <v>20</v>
      </c>
      <c r="K9" s="264">
        <v>0</v>
      </c>
      <c r="L9" s="264">
        <v>20</v>
      </c>
      <c r="M9" s="264">
        <v>20</v>
      </c>
      <c r="N9" s="264">
        <v>0</v>
      </c>
      <c r="O9" s="264">
        <v>0</v>
      </c>
      <c r="P9" s="264">
        <v>0</v>
      </c>
      <c r="Q9" s="264">
        <v>0</v>
      </c>
      <c r="R9" s="264">
        <v>20</v>
      </c>
      <c r="S9" s="264">
        <v>0</v>
      </c>
      <c r="T9" s="264">
        <v>20</v>
      </c>
      <c r="U9" s="264">
        <v>20</v>
      </c>
      <c r="V9" s="264">
        <v>0</v>
      </c>
    </row>
    <row r="10" spans="1:148" x14ac:dyDescent="0.25">
      <c r="A10" t="s">
        <v>499</v>
      </c>
      <c r="B10" t="s">
        <v>500</v>
      </c>
      <c r="C10" t="s">
        <v>492</v>
      </c>
      <c r="D10" t="s">
        <v>493</v>
      </c>
      <c r="E10" t="s">
        <v>501</v>
      </c>
      <c r="F10" t="s">
        <v>495</v>
      </c>
      <c r="G10" s="264">
        <v>0</v>
      </c>
      <c r="H10" s="264">
        <v>0</v>
      </c>
      <c r="I10" s="264">
        <v>0</v>
      </c>
      <c r="J10" s="264">
        <v>64</v>
      </c>
      <c r="K10" s="264">
        <v>0</v>
      </c>
      <c r="L10" s="264">
        <v>64</v>
      </c>
      <c r="M10" s="264">
        <v>64</v>
      </c>
      <c r="N10" s="264">
        <v>0</v>
      </c>
      <c r="O10" s="264">
        <v>0</v>
      </c>
      <c r="P10" s="264">
        <v>0</v>
      </c>
      <c r="Q10" s="264">
        <v>0</v>
      </c>
      <c r="R10" s="264">
        <v>64</v>
      </c>
      <c r="S10" s="264">
        <v>0</v>
      </c>
      <c r="T10" s="264">
        <v>64</v>
      </c>
      <c r="U10" s="264">
        <v>64</v>
      </c>
      <c r="V10" s="264">
        <v>0</v>
      </c>
    </row>
    <row r="11" spans="1:148" x14ac:dyDescent="0.25">
      <c r="A11" t="s">
        <v>502</v>
      </c>
      <c r="B11" t="s">
        <v>503</v>
      </c>
      <c r="C11" t="s">
        <v>492</v>
      </c>
      <c r="D11" t="s">
        <v>493</v>
      </c>
      <c r="E11" t="s">
        <v>504</v>
      </c>
      <c r="F11" t="s">
        <v>495</v>
      </c>
      <c r="G11" s="264">
        <v>0</v>
      </c>
      <c r="H11" s="264">
        <v>0</v>
      </c>
      <c r="I11" s="264">
        <v>0</v>
      </c>
      <c r="J11" s="264">
        <v>96</v>
      </c>
      <c r="K11" s="264">
        <v>0</v>
      </c>
      <c r="L11" s="264">
        <v>96</v>
      </c>
      <c r="M11" s="264">
        <v>96</v>
      </c>
      <c r="N11" s="264">
        <v>0</v>
      </c>
      <c r="O11" s="264">
        <v>0</v>
      </c>
      <c r="P11" s="264">
        <v>0</v>
      </c>
      <c r="Q11" s="264">
        <v>0</v>
      </c>
      <c r="R11" s="264">
        <v>96</v>
      </c>
      <c r="S11" s="264">
        <v>0</v>
      </c>
      <c r="T11" s="264">
        <v>96</v>
      </c>
      <c r="U11" s="264">
        <v>96</v>
      </c>
      <c r="V11" s="264">
        <v>0</v>
      </c>
    </row>
    <row r="12" spans="1:148" x14ac:dyDescent="0.25">
      <c r="A12" t="s">
        <v>505</v>
      </c>
      <c r="B12" t="s">
        <v>506</v>
      </c>
      <c r="C12" t="s">
        <v>492</v>
      </c>
      <c r="D12" t="s">
        <v>493</v>
      </c>
      <c r="E12" t="s">
        <v>412</v>
      </c>
      <c r="F12" t="s">
        <v>495</v>
      </c>
      <c r="G12" s="264">
        <v>0</v>
      </c>
      <c r="H12" s="264">
        <v>0</v>
      </c>
      <c r="I12" s="264">
        <v>0</v>
      </c>
      <c r="J12" s="264">
        <v>65</v>
      </c>
      <c r="K12" s="264">
        <v>0</v>
      </c>
      <c r="L12" s="264">
        <v>65</v>
      </c>
      <c r="M12" s="264">
        <v>65</v>
      </c>
      <c r="N12" s="264">
        <v>0</v>
      </c>
      <c r="O12" s="264">
        <v>0</v>
      </c>
      <c r="P12" s="264">
        <v>0</v>
      </c>
      <c r="Q12" s="264">
        <v>0</v>
      </c>
      <c r="R12" s="264">
        <v>65</v>
      </c>
      <c r="S12" s="264">
        <v>0</v>
      </c>
      <c r="T12" s="264">
        <v>65</v>
      </c>
      <c r="U12" s="264">
        <v>65</v>
      </c>
      <c r="V12" s="264">
        <v>0</v>
      </c>
    </row>
    <row r="13" spans="1:148" x14ac:dyDescent="0.25">
      <c r="A13" t="s">
        <v>507</v>
      </c>
      <c r="B13" t="s">
        <v>508</v>
      </c>
      <c r="C13" t="s">
        <v>492</v>
      </c>
      <c r="D13" t="s">
        <v>493</v>
      </c>
      <c r="E13" t="s">
        <v>509</v>
      </c>
      <c r="F13" t="s">
        <v>495</v>
      </c>
      <c r="G13" s="264">
        <v>0</v>
      </c>
      <c r="H13" s="264">
        <v>0</v>
      </c>
      <c r="I13" s="264">
        <v>0</v>
      </c>
      <c r="J13" s="264">
        <v>16</v>
      </c>
      <c r="K13" s="264">
        <v>0</v>
      </c>
      <c r="L13" s="264">
        <v>16</v>
      </c>
      <c r="M13" s="264">
        <v>16</v>
      </c>
      <c r="N13" s="264">
        <v>0</v>
      </c>
      <c r="O13" s="264">
        <v>0</v>
      </c>
      <c r="P13" s="264">
        <v>0</v>
      </c>
      <c r="Q13" s="264">
        <v>0</v>
      </c>
      <c r="R13" s="264">
        <v>16</v>
      </c>
      <c r="S13" s="264">
        <v>0</v>
      </c>
      <c r="T13" s="264">
        <v>16</v>
      </c>
      <c r="U13" s="264">
        <v>16</v>
      </c>
      <c r="V13" s="264">
        <v>0</v>
      </c>
    </row>
    <row r="14" spans="1:148" x14ac:dyDescent="0.25">
      <c r="A14" t="s">
        <v>510</v>
      </c>
      <c r="B14" t="s">
        <v>511</v>
      </c>
      <c r="C14" t="s">
        <v>492</v>
      </c>
      <c r="D14" t="s">
        <v>493</v>
      </c>
      <c r="E14" t="s">
        <v>512</v>
      </c>
      <c r="F14" t="s">
        <v>495</v>
      </c>
      <c r="G14" s="264">
        <v>0</v>
      </c>
      <c r="H14" s="264">
        <v>0</v>
      </c>
      <c r="I14" s="264">
        <v>0</v>
      </c>
      <c r="J14" s="264">
        <v>116</v>
      </c>
      <c r="K14" s="264">
        <v>0</v>
      </c>
      <c r="L14" s="264">
        <v>116</v>
      </c>
      <c r="M14" s="264">
        <v>116</v>
      </c>
      <c r="N14" s="264">
        <v>0</v>
      </c>
      <c r="O14" s="264">
        <v>0</v>
      </c>
      <c r="P14" s="264">
        <v>0</v>
      </c>
      <c r="Q14" s="264">
        <v>0</v>
      </c>
      <c r="R14" s="264">
        <v>116</v>
      </c>
      <c r="S14" s="264">
        <v>0</v>
      </c>
      <c r="T14" s="264">
        <v>116</v>
      </c>
      <c r="U14" s="264">
        <v>116</v>
      </c>
      <c r="V14" s="264">
        <v>0</v>
      </c>
    </row>
    <row r="15" spans="1:148" x14ac:dyDescent="0.25">
      <c r="A15" t="s">
        <v>513</v>
      </c>
      <c r="B15" t="s">
        <v>514</v>
      </c>
      <c r="C15" t="s">
        <v>492</v>
      </c>
      <c r="D15" t="s">
        <v>493</v>
      </c>
      <c r="E15" t="s">
        <v>515</v>
      </c>
      <c r="F15" t="s">
        <v>495</v>
      </c>
      <c r="G15" s="264">
        <v>0</v>
      </c>
      <c r="H15" s="264">
        <v>0</v>
      </c>
      <c r="I15" s="264">
        <v>0</v>
      </c>
      <c r="J15" s="264">
        <v>93</v>
      </c>
      <c r="K15" s="264">
        <v>0</v>
      </c>
      <c r="L15" s="264">
        <v>93</v>
      </c>
      <c r="M15" s="264">
        <v>93</v>
      </c>
      <c r="N15" s="264">
        <v>0</v>
      </c>
      <c r="O15" s="264">
        <v>0</v>
      </c>
      <c r="P15" s="264">
        <v>0</v>
      </c>
      <c r="Q15" s="264">
        <v>0</v>
      </c>
      <c r="R15" s="264">
        <v>93</v>
      </c>
      <c r="S15" s="264">
        <v>0</v>
      </c>
      <c r="T15" s="264">
        <v>93</v>
      </c>
      <c r="U15" s="264">
        <v>93</v>
      </c>
      <c r="V15" s="264">
        <v>0</v>
      </c>
    </row>
    <row r="16" spans="1:148" x14ac:dyDescent="0.25">
      <c r="A16" t="s">
        <v>516</v>
      </c>
      <c r="B16" t="s">
        <v>517</v>
      </c>
      <c r="C16" t="s">
        <v>492</v>
      </c>
      <c r="D16" t="s">
        <v>493</v>
      </c>
      <c r="E16" t="s">
        <v>501</v>
      </c>
      <c r="F16" t="s">
        <v>495</v>
      </c>
      <c r="G16" s="264">
        <v>0</v>
      </c>
      <c r="H16" s="264">
        <v>0</v>
      </c>
      <c r="I16" s="264">
        <v>0</v>
      </c>
      <c r="J16" s="264">
        <v>45</v>
      </c>
      <c r="K16" s="264">
        <v>0</v>
      </c>
      <c r="L16" s="264">
        <v>45</v>
      </c>
      <c r="M16" s="264">
        <v>45</v>
      </c>
      <c r="N16" s="264">
        <v>0</v>
      </c>
      <c r="O16" s="264">
        <v>0</v>
      </c>
      <c r="P16" s="264">
        <v>0</v>
      </c>
      <c r="Q16" s="264">
        <v>0</v>
      </c>
      <c r="R16" s="264">
        <v>45</v>
      </c>
      <c r="S16" s="264">
        <v>0</v>
      </c>
      <c r="T16" s="264">
        <v>45</v>
      </c>
      <c r="U16" s="264">
        <v>45</v>
      </c>
      <c r="V16" s="264">
        <v>0</v>
      </c>
    </row>
    <row r="17" spans="1:22" x14ac:dyDescent="0.25">
      <c r="A17" t="s">
        <v>518</v>
      </c>
      <c r="B17" t="s">
        <v>519</v>
      </c>
      <c r="C17" t="s">
        <v>492</v>
      </c>
      <c r="D17" t="s">
        <v>493</v>
      </c>
      <c r="E17" t="s">
        <v>520</v>
      </c>
      <c r="F17" t="s">
        <v>495</v>
      </c>
      <c r="G17" s="264">
        <v>0</v>
      </c>
      <c r="H17" s="264">
        <v>0</v>
      </c>
      <c r="I17" s="264">
        <v>0</v>
      </c>
      <c r="J17" s="264">
        <v>12</v>
      </c>
      <c r="K17" s="264">
        <v>0</v>
      </c>
      <c r="L17" s="264">
        <v>12</v>
      </c>
      <c r="M17" s="264">
        <v>12</v>
      </c>
      <c r="N17" s="264">
        <v>0</v>
      </c>
      <c r="O17" s="264">
        <v>0</v>
      </c>
      <c r="P17" s="264">
        <v>0</v>
      </c>
      <c r="Q17" s="264">
        <v>0</v>
      </c>
      <c r="R17" s="264">
        <v>12</v>
      </c>
      <c r="S17" s="264">
        <v>0</v>
      </c>
      <c r="T17" s="264">
        <v>12</v>
      </c>
      <c r="U17" s="264">
        <v>12</v>
      </c>
      <c r="V17" s="264">
        <v>0</v>
      </c>
    </row>
    <row r="18" spans="1:22" x14ac:dyDescent="0.25">
      <c r="A18" t="s">
        <v>521</v>
      </c>
      <c r="B18" t="s">
        <v>522</v>
      </c>
      <c r="C18" t="s">
        <v>492</v>
      </c>
      <c r="D18" t="s">
        <v>493</v>
      </c>
      <c r="E18" t="s">
        <v>523</v>
      </c>
      <c r="F18" t="s">
        <v>495</v>
      </c>
      <c r="G18" s="264">
        <v>0</v>
      </c>
      <c r="H18" s="264">
        <v>0</v>
      </c>
      <c r="I18" s="264">
        <v>0</v>
      </c>
      <c r="J18" s="264">
        <v>40</v>
      </c>
      <c r="K18" s="264">
        <v>0</v>
      </c>
      <c r="L18" s="264">
        <v>40</v>
      </c>
      <c r="M18" s="264">
        <v>40</v>
      </c>
      <c r="N18" s="264">
        <v>0</v>
      </c>
      <c r="O18" s="264">
        <v>0</v>
      </c>
      <c r="P18" s="264">
        <v>0</v>
      </c>
      <c r="Q18" s="264">
        <v>0</v>
      </c>
      <c r="R18" s="264">
        <v>40</v>
      </c>
      <c r="S18" s="264">
        <v>0</v>
      </c>
      <c r="T18" s="264">
        <v>40</v>
      </c>
      <c r="U18" s="264">
        <v>40</v>
      </c>
      <c r="V18" s="264">
        <v>0</v>
      </c>
    </row>
    <row r="19" spans="1:22" x14ac:dyDescent="0.25">
      <c r="A19" t="s">
        <v>524</v>
      </c>
      <c r="B19" t="s">
        <v>525</v>
      </c>
      <c r="C19" t="s">
        <v>492</v>
      </c>
      <c r="D19" t="s">
        <v>493</v>
      </c>
      <c r="E19" t="s">
        <v>402</v>
      </c>
      <c r="F19" t="s">
        <v>495</v>
      </c>
      <c r="G19" s="264">
        <v>0</v>
      </c>
      <c r="H19" s="264">
        <v>0</v>
      </c>
      <c r="I19" s="264">
        <v>0</v>
      </c>
      <c r="J19" s="264">
        <v>85</v>
      </c>
      <c r="K19" s="264">
        <v>0</v>
      </c>
      <c r="L19" s="264">
        <v>85</v>
      </c>
      <c r="M19" s="264">
        <v>85</v>
      </c>
      <c r="N19" s="264">
        <v>0</v>
      </c>
      <c r="O19" s="264">
        <v>0</v>
      </c>
      <c r="P19" s="264">
        <v>0</v>
      </c>
      <c r="Q19" s="264">
        <v>0</v>
      </c>
      <c r="R19" s="264">
        <v>85</v>
      </c>
      <c r="S19" s="264">
        <v>0</v>
      </c>
      <c r="T19" s="264">
        <v>85</v>
      </c>
      <c r="U19" s="264">
        <v>85</v>
      </c>
      <c r="V19" s="264">
        <v>0</v>
      </c>
    </row>
    <row r="20" spans="1:22" x14ac:dyDescent="0.25">
      <c r="A20" t="s">
        <v>526</v>
      </c>
      <c r="B20" t="s">
        <v>527</v>
      </c>
      <c r="C20" t="s">
        <v>492</v>
      </c>
      <c r="D20" t="s">
        <v>493</v>
      </c>
      <c r="E20" t="s">
        <v>528</v>
      </c>
      <c r="F20" t="s">
        <v>495</v>
      </c>
      <c r="G20" s="264">
        <v>0</v>
      </c>
      <c r="H20" s="264">
        <v>0</v>
      </c>
      <c r="I20" s="264">
        <v>0</v>
      </c>
      <c r="J20" s="264">
        <v>66</v>
      </c>
      <c r="K20" s="264">
        <v>0</v>
      </c>
      <c r="L20" s="264">
        <v>66</v>
      </c>
      <c r="M20" s="264">
        <v>66</v>
      </c>
      <c r="N20" s="264">
        <v>0</v>
      </c>
      <c r="O20" s="264">
        <v>0</v>
      </c>
      <c r="P20" s="264">
        <v>0</v>
      </c>
      <c r="Q20" s="264">
        <v>0</v>
      </c>
      <c r="R20" s="264">
        <v>66</v>
      </c>
      <c r="S20" s="264">
        <v>0</v>
      </c>
      <c r="T20" s="264">
        <v>66</v>
      </c>
      <c r="U20" s="264">
        <v>66</v>
      </c>
      <c r="V20" s="264">
        <v>0</v>
      </c>
    </row>
    <row r="21" spans="1:22" x14ac:dyDescent="0.25">
      <c r="A21" t="s">
        <v>529</v>
      </c>
      <c r="B21" t="s">
        <v>530</v>
      </c>
      <c r="C21" t="s">
        <v>492</v>
      </c>
      <c r="D21" t="s">
        <v>493</v>
      </c>
      <c r="E21" t="s">
        <v>391</v>
      </c>
      <c r="F21" t="s">
        <v>495</v>
      </c>
      <c r="G21" s="264">
        <v>0</v>
      </c>
      <c r="H21" s="264">
        <v>0</v>
      </c>
      <c r="I21" s="264">
        <v>0</v>
      </c>
      <c r="J21" s="264">
        <v>146</v>
      </c>
      <c r="K21" s="264">
        <v>0</v>
      </c>
      <c r="L21" s="264">
        <v>146</v>
      </c>
      <c r="M21" s="264">
        <v>146</v>
      </c>
      <c r="N21" s="264">
        <v>0</v>
      </c>
      <c r="O21" s="264">
        <v>0</v>
      </c>
      <c r="P21" s="264">
        <v>0</v>
      </c>
      <c r="Q21" s="264">
        <v>0</v>
      </c>
      <c r="R21" s="264">
        <v>146</v>
      </c>
      <c r="S21" s="264">
        <v>0</v>
      </c>
      <c r="T21" s="264">
        <v>146</v>
      </c>
      <c r="U21" s="264">
        <v>146</v>
      </c>
      <c r="V21" s="264">
        <v>0</v>
      </c>
    </row>
    <row r="22" spans="1:22" x14ac:dyDescent="0.25">
      <c r="A22" t="s">
        <v>531</v>
      </c>
      <c r="B22" t="s">
        <v>532</v>
      </c>
      <c r="C22" t="s">
        <v>492</v>
      </c>
      <c r="D22" t="s">
        <v>493</v>
      </c>
      <c r="E22" t="s">
        <v>533</v>
      </c>
      <c r="F22" t="s">
        <v>495</v>
      </c>
      <c r="G22" s="264">
        <v>0</v>
      </c>
      <c r="H22" s="264">
        <v>0</v>
      </c>
      <c r="I22" s="264">
        <v>0</v>
      </c>
      <c r="J22" s="264">
        <v>171</v>
      </c>
      <c r="K22" s="264">
        <v>0</v>
      </c>
      <c r="L22" s="264">
        <v>171</v>
      </c>
      <c r="M22" s="264">
        <v>171</v>
      </c>
      <c r="N22" s="264">
        <v>0</v>
      </c>
      <c r="O22" s="264">
        <v>0</v>
      </c>
      <c r="P22" s="264">
        <v>0</v>
      </c>
      <c r="Q22" s="264">
        <v>0</v>
      </c>
      <c r="R22" s="264">
        <v>171</v>
      </c>
      <c r="S22" s="264">
        <v>0</v>
      </c>
      <c r="T22" s="264">
        <v>171</v>
      </c>
      <c r="U22" s="264">
        <v>171</v>
      </c>
      <c r="V22" s="264">
        <v>0</v>
      </c>
    </row>
    <row r="23" spans="1:22" x14ac:dyDescent="0.25">
      <c r="A23" t="s">
        <v>534</v>
      </c>
      <c r="B23" t="s">
        <v>535</v>
      </c>
      <c r="C23" t="s">
        <v>492</v>
      </c>
      <c r="D23" t="s">
        <v>493</v>
      </c>
      <c r="E23" t="s">
        <v>536</v>
      </c>
      <c r="F23" t="s">
        <v>495</v>
      </c>
      <c r="G23" s="264">
        <v>0</v>
      </c>
      <c r="H23" s="264">
        <v>0</v>
      </c>
      <c r="I23" s="264">
        <v>0</v>
      </c>
      <c r="J23" s="264">
        <v>20</v>
      </c>
      <c r="K23" s="264">
        <v>0</v>
      </c>
      <c r="L23" s="264">
        <v>20</v>
      </c>
      <c r="M23" s="264">
        <v>20</v>
      </c>
      <c r="N23" s="264">
        <v>0</v>
      </c>
      <c r="O23" s="264">
        <v>0</v>
      </c>
      <c r="P23" s="264">
        <v>0</v>
      </c>
      <c r="Q23" s="264">
        <v>0</v>
      </c>
      <c r="R23" s="264">
        <v>20</v>
      </c>
      <c r="S23" s="264">
        <v>0</v>
      </c>
      <c r="T23" s="264">
        <v>20</v>
      </c>
      <c r="U23" s="264">
        <v>20</v>
      </c>
      <c r="V23" s="264">
        <v>0</v>
      </c>
    </row>
  </sheetData>
  <mergeCells count="5">
    <mergeCell ref="C2:E2"/>
    <mergeCell ref="C5:E5"/>
    <mergeCell ref="C4:E4"/>
    <mergeCell ref="C3:E3"/>
    <mergeCell ref="C6:E6"/>
  </mergeCells>
  <dataValidations count="6">
    <dataValidation errorStyle="warning" operator="greaterThanOrEqual" allowBlank="1" showErrorMessage="1" errorTitle="SizeGEzero" error="Size must be greater than or equal to zero." sqref="G8:CK1007 CY8:ER1007" xr:uid="{00000000-0002-0000-0B00-000000000000}">
      <formula1>0</formula1>
      <formula2>0</formula2>
    </dataValidation>
    <dataValidation allowBlank="1" showInputMessage="1" showErrorMessage="1" promptTitle="Assembly or Part Name" prompt="Enter the name of the assembly, sub-assembly, or part. Duplicate names are allowed if size measure is unique." sqref="B7" xr:uid="{00000000-0002-0000-0B00-000001000000}">
      <formula1>0</formula1>
      <formula2>0</formula2>
    </dataValidation>
    <dataValidation allowBlank="1" showInputMessage="1" showErrorMessage="1" promptTitle="Assembly (A) or Part (P) flag" prompt="Click the right mouse button and select A for an assembly, the default, or P for a part." sqref="C7" xr:uid="{00000000-0002-0000-0B00-000002000000}">
      <formula1>0</formula1>
      <formula2>0</formula2>
    </dataValidation>
    <dataValidation allowBlank="1" showInputMessage="1" showErrorMessage="1" promptTitle="Parent Assembly Name" prompt="Click the right mouse button and select the name of the parent assembly." sqref="D7" xr:uid="{00000000-0002-0000-0B00-000003000000}">
      <formula1>0</formula1>
      <formula2>0</formula2>
    </dataValidation>
    <dataValidation allowBlank="1" showInputMessage="1" showErrorMessage="1" promptTitle="Owner" prompt="Click the right mouse button and select the team member that owns this assembly." sqref="E7" xr:uid="{00000000-0002-0000-0B00-000004000000}">
      <formula1>0</formula1>
      <formula2>0</formula2>
    </dataValidation>
    <dataValidation allowBlank="1" showInputMessage="1" showErrorMessage="1" promptTitle="Size Measure" prompt="Click the right mouse button and select the size measure for this assembly." sqref="F7" xr:uid="{00000000-0002-0000-0B00-000005000000}">
      <formula1>0</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R2"/>
  <sheetViews>
    <sheetView workbookViewId="0"/>
  </sheetViews>
  <sheetFormatPr baseColWidth="10" defaultColWidth="3.6640625" defaultRowHeight="13.2" x14ac:dyDescent="0.25"/>
  <cols>
    <col min="139" max="139" width="5.6640625" customWidth="1"/>
    <col min="147" max="147" width="12.6640625" customWidth="1"/>
  </cols>
  <sheetData>
    <row r="1" spans="1:148" x14ac:dyDescent="0.25">
      <c r="A1" s="135" t="s">
        <v>356</v>
      </c>
      <c r="B1" s="136" t="s">
        <v>475</v>
      </c>
      <c r="C1" s="136" t="s">
        <v>476</v>
      </c>
      <c r="D1" s="136" t="s">
        <v>477</v>
      </c>
      <c r="E1" s="136" t="s">
        <v>478</v>
      </c>
      <c r="F1" s="137" t="s">
        <v>479</v>
      </c>
      <c r="G1" s="135" t="s">
        <v>480</v>
      </c>
      <c r="H1" s="136" t="s">
        <v>481</v>
      </c>
      <c r="I1" s="136" t="s">
        <v>482</v>
      </c>
      <c r="J1" s="136" t="s">
        <v>483</v>
      </c>
      <c r="K1" s="136" t="s">
        <v>484</v>
      </c>
      <c r="L1" s="136" t="s">
        <v>485</v>
      </c>
      <c r="M1" s="136" t="s">
        <v>486</v>
      </c>
      <c r="N1" s="137" t="s">
        <v>487</v>
      </c>
      <c r="O1" s="135" t="s">
        <v>480</v>
      </c>
      <c r="P1" s="136" t="s">
        <v>481</v>
      </c>
      <c r="Q1" s="136" t="s">
        <v>482</v>
      </c>
      <c r="R1" s="136" t="s">
        <v>483</v>
      </c>
      <c r="S1" s="136" t="s">
        <v>484</v>
      </c>
      <c r="T1" s="136" t="s">
        <v>485</v>
      </c>
      <c r="U1" s="136" t="s">
        <v>486</v>
      </c>
      <c r="V1" s="137" t="s">
        <v>487</v>
      </c>
      <c r="W1" s="135" t="s">
        <v>320</v>
      </c>
      <c r="X1" s="136" t="s">
        <v>186</v>
      </c>
      <c r="Y1" s="136" t="s">
        <v>328</v>
      </c>
      <c r="Z1" s="136" t="s">
        <v>333</v>
      </c>
      <c r="AA1" s="136" t="s">
        <v>190</v>
      </c>
      <c r="AB1" s="136" t="s">
        <v>336</v>
      </c>
      <c r="AC1" s="136" t="s">
        <v>338</v>
      </c>
      <c r="AD1" s="136" t="s">
        <v>340</v>
      </c>
      <c r="AE1" s="136" t="s">
        <v>342</v>
      </c>
      <c r="AF1" s="136" t="s">
        <v>344</v>
      </c>
      <c r="AG1" s="136" t="s">
        <v>346</v>
      </c>
      <c r="AH1" s="136" t="s">
        <v>347</v>
      </c>
      <c r="AI1" s="136" t="s">
        <v>348</v>
      </c>
      <c r="AJ1" s="136" t="s">
        <v>349</v>
      </c>
      <c r="AK1" s="136" t="s">
        <v>350</v>
      </c>
      <c r="AL1" s="136" t="s">
        <v>351</v>
      </c>
      <c r="AM1" s="136" t="s">
        <v>352</v>
      </c>
      <c r="AN1" s="138" t="s">
        <v>353</v>
      </c>
      <c r="AO1" s="136" t="s">
        <v>446</v>
      </c>
      <c r="AP1" s="139" t="s">
        <v>343</v>
      </c>
      <c r="AQ1" s="136" t="s">
        <v>320</v>
      </c>
      <c r="AR1" s="136" t="s">
        <v>186</v>
      </c>
      <c r="AS1" s="136" t="s">
        <v>328</v>
      </c>
      <c r="AT1" s="136" t="s">
        <v>333</v>
      </c>
      <c r="AU1" s="136" t="s">
        <v>190</v>
      </c>
      <c r="AV1" s="136" t="s">
        <v>336</v>
      </c>
      <c r="AW1" s="136" t="s">
        <v>338</v>
      </c>
      <c r="AX1" s="136" t="s">
        <v>340</v>
      </c>
      <c r="AY1" s="136" t="s">
        <v>342</v>
      </c>
      <c r="AZ1" s="136" t="s">
        <v>344</v>
      </c>
      <c r="BA1" s="136" t="s">
        <v>346</v>
      </c>
      <c r="BB1" s="136" t="s">
        <v>347</v>
      </c>
      <c r="BC1" s="136" t="s">
        <v>348</v>
      </c>
      <c r="BD1" s="136" t="s">
        <v>349</v>
      </c>
      <c r="BE1" s="136" t="s">
        <v>350</v>
      </c>
      <c r="BF1" s="138" t="s">
        <v>351</v>
      </c>
      <c r="BG1" s="136" t="s">
        <v>352</v>
      </c>
      <c r="BH1" s="136" t="s">
        <v>353</v>
      </c>
      <c r="BI1" s="136" t="s">
        <v>446</v>
      </c>
      <c r="BJ1" s="139" t="s">
        <v>343</v>
      </c>
      <c r="BK1" s="136" t="s">
        <v>320</v>
      </c>
      <c r="BL1" s="136" t="s">
        <v>186</v>
      </c>
      <c r="BM1" s="136" t="s">
        <v>328</v>
      </c>
      <c r="BN1" s="136" t="s">
        <v>333</v>
      </c>
      <c r="BO1" s="136" t="s">
        <v>190</v>
      </c>
      <c r="BP1" s="136" t="s">
        <v>336</v>
      </c>
      <c r="BQ1" s="136" t="s">
        <v>338</v>
      </c>
      <c r="BR1" s="136" t="s">
        <v>340</v>
      </c>
      <c r="BS1" s="136" t="s">
        <v>342</v>
      </c>
      <c r="BT1" s="136" t="s">
        <v>344</v>
      </c>
      <c r="BU1" s="136" t="s">
        <v>346</v>
      </c>
      <c r="BV1" s="136" t="s">
        <v>347</v>
      </c>
      <c r="BW1" s="136" t="s">
        <v>348</v>
      </c>
      <c r="BX1" s="138" t="s">
        <v>349</v>
      </c>
      <c r="BY1" s="136" t="s">
        <v>350</v>
      </c>
      <c r="BZ1" s="136" t="s">
        <v>351</v>
      </c>
      <c r="CA1" s="136" t="s">
        <v>352</v>
      </c>
      <c r="CB1" s="136" t="s">
        <v>353</v>
      </c>
      <c r="CC1" s="136" t="s">
        <v>446</v>
      </c>
      <c r="CD1" s="139" t="s">
        <v>343</v>
      </c>
      <c r="CE1" s="136" t="s">
        <v>320</v>
      </c>
      <c r="CF1" s="136" t="s">
        <v>186</v>
      </c>
      <c r="CG1" s="136" t="s">
        <v>328</v>
      </c>
      <c r="CH1" s="136" t="s">
        <v>333</v>
      </c>
      <c r="CI1" s="136" t="s">
        <v>190</v>
      </c>
      <c r="CJ1" s="136" t="s">
        <v>336</v>
      </c>
      <c r="CK1" s="136" t="s">
        <v>338</v>
      </c>
      <c r="CL1" s="136" t="s">
        <v>340</v>
      </c>
      <c r="CM1" s="136" t="s">
        <v>342</v>
      </c>
      <c r="CN1" s="136" t="s">
        <v>344</v>
      </c>
      <c r="CO1" s="136" t="s">
        <v>346</v>
      </c>
      <c r="CP1" s="136" t="s">
        <v>347</v>
      </c>
      <c r="CQ1" s="136" t="s">
        <v>348</v>
      </c>
      <c r="CR1" s="138" t="s">
        <v>349</v>
      </c>
      <c r="CS1" s="136" t="s">
        <v>350</v>
      </c>
      <c r="CT1" s="136" t="s">
        <v>351</v>
      </c>
      <c r="CU1" s="136" t="s">
        <v>352</v>
      </c>
      <c r="CV1" s="136" t="s">
        <v>353</v>
      </c>
      <c r="CW1" s="136" t="s">
        <v>446</v>
      </c>
      <c r="CX1" s="139" t="s">
        <v>343</v>
      </c>
      <c r="CY1" s="136" t="s">
        <v>311</v>
      </c>
      <c r="CZ1" s="136" t="s">
        <v>316</v>
      </c>
      <c r="DA1" s="136" t="s">
        <v>320</v>
      </c>
      <c r="DB1" s="136" t="s">
        <v>186</v>
      </c>
      <c r="DC1" s="136" t="s">
        <v>328</v>
      </c>
      <c r="DD1" s="136" t="s">
        <v>333</v>
      </c>
      <c r="DE1" s="136" t="s">
        <v>190</v>
      </c>
      <c r="DF1" s="136" t="s">
        <v>336</v>
      </c>
      <c r="DG1" s="136" t="s">
        <v>338</v>
      </c>
      <c r="DH1" s="136" t="s">
        <v>340</v>
      </c>
      <c r="DI1" s="136" t="s">
        <v>342</v>
      </c>
      <c r="DJ1" s="136" t="s">
        <v>344</v>
      </c>
      <c r="DK1" s="136" t="s">
        <v>346</v>
      </c>
      <c r="DL1" s="136" t="s">
        <v>347</v>
      </c>
      <c r="DM1" s="136" t="s">
        <v>348</v>
      </c>
      <c r="DN1" s="138" t="s">
        <v>349</v>
      </c>
      <c r="DO1" s="136" t="s">
        <v>350</v>
      </c>
      <c r="DP1" s="136" t="s">
        <v>351</v>
      </c>
      <c r="DQ1" s="136" t="s">
        <v>352</v>
      </c>
      <c r="DR1" s="136" t="s">
        <v>353</v>
      </c>
      <c r="DS1" s="136" t="s">
        <v>354</v>
      </c>
      <c r="DT1" s="139" t="s">
        <v>355</v>
      </c>
      <c r="DU1" s="136" t="s">
        <v>311</v>
      </c>
      <c r="DV1" s="136" t="s">
        <v>316</v>
      </c>
      <c r="DW1" s="136" t="s">
        <v>320</v>
      </c>
      <c r="DX1" s="136" t="s">
        <v>186</v>
      </c>
      <c r="DY1" s="136" t="s">
        <v>328</v>
      </c>
      <c r="DZ1" s="136" t="s">
        <v>333</v>
      </c>
      <c r="EA1" s="136" t="s">
        <v>190</v>
      </c>
      <c r="EB1" s="136" t="s">
        <v>336</v>
      </c>
      <c r="EC1" s="136" t="s">
        <v>338</v>
      </c>
      <c r="ED1" s="136" t="s">
        <v>340</v>
      </c>
      <c r="EE1" s="136" t="s">
        <v>342</v>
      </c>
      <c r="EF1" s="136" t="s">
        <v>344</v>
      </c>
      <c r="EG1" s="136" t="s">
        <v>346</v>
      </c>
      <c r="EH1" s="138" t="s">
        <v>347</v>
      </c>
      <c r="EI1" s="138" t="s">
        <v>348</v>
      </c>
      <c r="EJ1" s="138" t="s">
        <v>349</v>
      </c>
      <c r="EK1" s="138" t="s">
        <v>350</v>
      </c>
      <c r="EL1" s="138" t="s">
        <v>351</v>
      </c>
      <c r="EM1" s="138" t="s">
        <v>352</v>
      </c>
      <c r="EN1" s="138" t="s">
        <v>353</v>
      </c>
      <c r="EO1" s="138" t="s">
        <v>354</v>
      </c>
      <c r="EP1" s="140" t="s">
        <v>355</v>
      </c>
      <c r="EQ1" s="136" t="s">
        <v>488</v>
      </c>
      <c r="ER1" s="137" t="s">
        <v>489</v>
      </c>
    </row>
    <row r="2" spans="1:148" x14ac:dyDescent="0.25">
      <c r="EQ2" s="14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W858"/>
  <sheetViews>
    <sheetView topLeftCell="A16" workbookViewId="0"/>
  </sheetViews>
  <sheetFormatPr baseColWidth="10" defaultColWidth="11.44140625" defaultRowHeight="13.2" x14ac:dyDescent="0.25"/>
  <cols>
    <col min="1" max="1" width="12.6640625" style="13" customWidth="1"/>
    <col min="2" max="2" width="10.44140625" style="13" customWidth="1"/>
    <col min="3" max="3" width="33.88671875" style="13" customWidth="1"/>
    <col min="4" max="9" width="4.6640625" style="13" customWidth="1"/>
    <col min="10" max="10" width="7.44140625" style="119" customWidth="1"/>
    <col min="11" max="11" width="10.6640625" style="13" hidden="1" customWidth="1"/>
    <col min="12" max="12" width="6.6640625" style="13" customWidth="1"/>
    <col min="13" max="13" width="4.109375" style="13" customWidth="1"/>
    <col min="14" max="14" width="4.6640625" style="142" customWidth="1"/>
    <col min="15" max="15" width="12.109375" style="142" customWidth="1"/>
    <col min="16" max="16" width="6.6640625" style="142" hidden="1" customWidth="1"/>
    <col min="17" max="17" width="3.6640625" style="142" customWidth="1"/>
    <col min="18" max="18" width="6.6640625" style="143" customWidth="1"/>
    <col min="19" max="19" width="11.44140625" style="144" customWidth="1"/>
    <col min="20" max="20" width="11" style="145" customWidth="1"/>
    <col min="21" max="21" width="6.6640625" style="142" customWidth="1"/>
    <col min="22" max="22" width="11.44140625" style="146" customWidth="1"/>
    <col min="23" max="23" width="3.6640625" style="119" customWidth="1"/>
    <col min="24" max="24" width="5" style="143" customWidth="1"/>
    <col min="25" max="25" width="6.6640625" style="143" hidden="1" customWidth="1"/>
    <col min="26" max="26" width="6.6640625" style="143" customWidth="1"/>
    <col min="27" max="27" width="5.6640625" style="143" customWidth="1"/>
    <col min="28" max="28" width="5" style="143" customWidth="1"/>
    <col min="29" max="29" width="5.44140625" style="147" hidden="1" customWidth="1"/>
    <col min="30" max="31" width="11.44140625" style="144" customWidth="1"/>
    <col min="32" max="32" width="11.44140625" style="146" customWidth="1"/>
    <col min="33" max="33" width="11.44140625" style="144" customWidth="1"/>
    <col min="34" max="34" width="11.44140625" style="143" customWidth="1"/>
    <col min="35" max="35" width="40.6640625" style="13" customWidth="1"/>
    <col min="36" max="36" width="3.6640625" style="119" customWidth="1"/>
    <col min="37" max="38" width="11.44140625" style="143" customWidth="1"/>
    <col min="39" max="257" width="11.44140625" style="2" customWidth="1"/>
  </cols>
  <sheetData>
    <row r="1" spans="1:39" ht="15.6" customHeight="1" x14ac:dyDescent="0.3">
      <c r="A1" s="98" t="str">
        <f>TSPProcessName&amp;" Task Planning Template - Form TASK"</f>
        <v>TSPi Task Planning Template - Form TASK</v>
      </c>
      <c r="B1" s="15"/>
      <c r="C1" s="15"/>
      <c r="D1" s="15"/>
      <c r="E1" s="15"/>
      <c r="F1" s="15"/>
      <c r="G1" s="15"/>
      <c r="H1" s="15"/>
      <c r="I1" s="15"/>
      <c r="J1" s="15"/>
      <c r="K1" s="15"/>
      <c r="L1" s="15"/>
      <c r="M1" s="15"/>
      <c r="N1" s="148"/>
      <c r="O1" s="148" t="s">
        <v>537</v>
      </c>
      <c r="P1" s="149"/>
      <c r="Q1" s="150"/>
      <c r="R1" s="150"/>
      <c r="S1" s="151"/>
      <c r="T1" s="152"/>
      <c r="U1" s="150"/>
      <c r="V1" s="153" t="s">
        <v>538</v>
      </c>
      <c r="W1" s="18"/>
      <c r="X1" s="149"/>
      <c r="Y1" s="150"/>
      <c r="Z1" s="150"/>
      <c r="AA1" s="150"/>
      <c r="AB1" s="150"/>
      <c r="AC1" s="152"/>
      <c r="AD1" s="151"/>
      <c r="AE1" s="151"/>
      <c r="AF1" s="151"/>
      <c r="AG1" s="151"/>
      <c r="AH1" s="150"/>
      <c r="AI1" s="15"/>
      <c r="AJ1" s="15"/>
      <c r="AK1" s="150"/>
      <c r="AL1" s="150"/>
    </row>
    <row r="2" spans="1:39" x14ac:dyDescent="0.25">
      <c r="A2" s="88" t="s">
        <v>312</v>
      </c>
      <c r="B2" s="154" t="str">
        <f>IF(Name=0,"",Name)</f>
        <v>Catálogo de Productos de Belleza Be Beautiful</v>
      </c>
      <c r="C2" s="155"/>
      <c r="D2" s="2"/>
      <c r="E2" s="2"/>
      <c r="F2" s="15"/>
      <c r="G2" s="15"/>
      <c r="H2" s="15"/>
      <c r="I2" s="15"/>
      <c r="J2" s="15"/>
      <c r="K2" s="15"/>
      <c r="L2" s="15"/>
      <c r="M2" s="15"/>
      <c r="N2" s="150"/>
      <c r="O2" s="298">
        <v>93.1</v>
      </c>
      <c r="P2" s="290"/>
      <c r="Q2" s="157"/>
      <c r="R2" s="150"/>
      <c r="S2" s="158"/>
      <c r="T2" s="147"/>
      <c r="U2" s="150"/>
      <c r="V2" s="298">
        <v>97.5</v>
      </c>
      <c r="W2" s="290"/>
      <c r="X2" s="157"/>
      <c r="Y2" s="157"/>
      <c r="Z2" s="157"/>
      <c r="AA2" s="157"/>
      <c r="AB2" s="157"/>
      <c r="AD2" s="158"/>
      <c r="AE2" s="158"/>
      <c r="AF2" s="158"/>
      <c r="AG2" s="158"/>
      <c r="AH2" s="157"/>
      <c r="AI2" s="2"/>
      <c r="AJ2" s="2"/>
      <c r="AK2" s="157"/>
      <c r="AL2" s="157"/>
    </row>
    <row r="3" spans="1:39" x14ac:dyDescent="0.25">
      <c r="A3" s="88" t="s">
        <v>14</v>
      </c>
      <c r="B3" s="154" t="str">
        <f>IF(TeamName=0,"",TeamName)</f>
        <v>Subgrupo 4</v>
      </c>
      <c r="C3" s="155"/>
      <c r="D3" s="2"/>
      <c r="E3" s="2"/>
      <c r="F3" s="2"/>
      <c r="G3" s="15"/>
      <c r="H3" s="15"/>
      <c r="I3" s="15"/>
      <c r="J3" s="15"/>
      <c r="K3" s="15"/>
      <c r="L3" s="159" t="s">
        <v>539</v>
      </c>
      <c r="M3" s="15"/>
      <c r="N3" s="157"/>
      <c r="O3" s="157"/>
      <c r="P3" s="157"/>
      <c r="Q3" s="157"/>
      <c r="R3" s="160"/>
      <c r="S3" s="158"/>
      <c r="T3" s="147"/>
      <c r="U3" s="160"/>
      <c r="V3" s="158"/>
      <c r="W3" s="2"/>
      <c r="X3" s="157"/>
      <c r="Y3" s="157"/>
      <c r="Z3" s="157"/>
      <c r="AA3" s="157"/>
      <c r="AB3" s="157"/>
      <c r="AD3" s="158"/>
      <c r="AE3" s="158"/>
      <c r="AF3" s="158"/>
      <c r="AG3" s="158"/>
      <c r="AH3" s="157"/>
      <c r="AI3" s="2"/>
      <c r="AJ3" s="2"/>
      <c r="AK3" s="157"/>
      <c r="AL3" s="157"/>
    </row>
    <row r="4" spans="1:39" x14ac:dyDescent="0.25">
      <c r="A4" s="88" t="s">
        <v>314</v>
      </c>
      <c r="B4" s="161">
        <f>currentDate</f>
        <v>46196</v>
      </c>
      <c r="C4" s="155"/>
      <c r="D4" s="2"/>
      <c r="E4" s="2"/>
      <c r="F4" s="2"/>
      <c r="G4" s="2"/>
      <c r="H4" s="2"/>
      <c r="I4" s="2"/>
      <c r="J4" s="2"/>
      <c r="K4" s="2"/>
      <c r="L4" s="159" t="s">
        <v>540</v>
      </c>
      <c r="M4" s="2"/>
      <c r="N4" s="157"/>
      <c r="O4" s="157"/>
      <c r="P4" s="157"/>
      <c r="Q4" s="157"/>
      <c r="R4" s="160"/>
      <c r="S4" s="158"/>
      <c r="T4" s="147"/>
      <c r="U4" s="160"/>
      <c r="V4" s="158"/>
      <c r="W4" s="2"/>
      <c r="X4" s="157"/>
      <c r="Y4" s="157"/>
      <c r="Z4" s="157"/>
      <c r="AA4" s="157"/>
      <c r="AB4" s="157"/>
      <c r="AD4" s="158"/>
      <c r="AE4" s="158"/>
      <c r="AF4" s="158"/>
      <c r="AG4" s="158"/>
      <c r="AH4" s="157"/>
      <c r="AI4" s="2"/>
      <c r="AJ4" s="2"/>
      <c r="AK4" s="157"/>
      <c r="AL4" s="157"/>
    </row>
    <row r="5" spans="1:39" x14ac:dyDescent="0.25">
      <c r="A5" s="88" t="str">
        <f>IF(Project!C5&lt;&gt;"",Project!C5,"")</f>
        <v>Instructor</v>
      </c>
      <c r="B5" s="154" t="str">
        <f>IF(InstructorName=0,"",InstructorName)</f>
        <v>Martinez, Natalia</v>
      </c>
      <c r="C5" s="155"/>
      <c r="D5" s="2"/>
      <c r="E5" s="2"/>
      <c r="F5" s="2"/>
      <c r="G5" s="2"/>
      <c r="H5" s="2"/>
      <c r="I5" s="2"/>
      <c r="J5" s="2"/>
      <c r="K5" s="2"/>
      <c r="L5" s="159" t="s">
        <v>541</v>
      </c>
      <c r="M5" s="2"/>
      <c r="N5" s="157"/>
      <c r="O5" s="157"/>
      <c r="P5" s="157"/>
      <c r="Q5" s="157"/>
      <c r="R5" s="160"/>
      <c r="S5" s="158"/>
      <c r="T5" s="147"/>
      <c r="U5" s="160"/>
      <c r="V5" s="158"/>
      <c r="W5" s="2"/>
      <c r="X5" s="157"/>
      <c r="Y5" s="157"/>
      <c r="Z5" s="157"/>
      <c r="AA5" s="157"/>
      <c r="AB5" s="157"/>
      <c r="AD5" s="158"/>
      <c r="AE5" s="158"/>
      <c r="AF5" s="158"/>
      <c r="AG5" s="158"/>
      <c r="AH5" s="157"/>
      <c r="AI5" s="2"/>
      <c r="AJ5" s="2"/>
      <c r="AK5" s="157"/>
      <c r="AL5" s="157"/>
    </row>
    <row r="6" spans="1:39" x14ac:dyDescent="0.25">
      <c r="A6" s="88" t="s">
        <v>326</v>
      </c>
      <c r="B6" s="154" t="s">
        <v>408</v>
      </c>
      <c r="C6" s="155"/>
      <c r="D6" s="299" t="s">
        <v>542</v>
      </c>
      <c r="E6" s="290"/>
      <c r="F6" s="290"/>
      <c r="G6" s="290"/>
      <c r="H6" s="290"/>
      <c r="I6" s="290"/>
      <c r="J6" s="2"/>
      <c r="K6" s="2"/>
      <c r="L6" s="2"/>
      <c r="M6" s="2"/>
      <c r="N6" s="157"/>
      <c r="O6" s="157"/>
      <c r="P6" s="157"/>
      <c r="Q6" s="157"/>
      <c r="R6" s="160"/>
      <c r="S6" s="158"/>
      <c r="T6" s="147"/>
      <c r="U6" s="160"/>
      <c r="V6" s="158"/>
      <c r="W6" s="2"/>
      <c r="X6" s="157"/>
      <c r="Y6" s="157"/>
      <c r="Z6" s="157"/>
      <c r="AA6" s="157"/>
      <c r="AB6" s="157"/>
      <c r="AD6" s="158"/>
      <c r="AE6" s="158"/>
      <c r="AF6" s="158"/>
      <c r="AG6" s="158"/>
      <c r="AH6" s="157"/>
      <c r="AI6" s="2"/>
      <c r="AJ6" s="2"/>
      <c r="AK6" s="157"/>
      <c r="AL6" s="157"/>
    </row>
    <row r="7" spans="1:39" ht="66.75" customHeight="1" x14ac:dyDescent="0.25">
      <c r="A7" s="66" t="s">
        <v>325</v>
      </c>
      <c r="B7" s="66" t="s">
        <v>308</v>
      </c>
      <c r="C7" s="162" t="s">
        <v>30</v>
      </c>
      <c r="D7" s="66" t="str">
        <f>Roles!A2</f>
        <v>Team Leader</v>
      </c>
      <c r="E7" s="66" t="str">
        <f>Roles!A4</f>
        <v>Development Manager</v>
      </c>
      <c r="F7" s="66" t="str">
        <f>Roles!A6</f>
        <v>Planning Manager</v>
      </c>
      <c r="G7" s="66" t="str">
        <f>Roles!A8</f>
        <v>Quality/Process Manager</v>
      </c>
      <c r="H7" s="66" t="str">
        <f>Roles!A10</f>
        <v>Support Manager</v>
      </c>
      <c r="I7" s="66" t="str">
        <f>IF(Roles!A20="","",Roles!A20)</f>
        <v>Developer / Tester de apoyo</v>
      </c>
      <c r="J7" s="66" t="s">
        <v>543</v>
      </c>
      <c r="K7" s="66" t="s">
        <v>544</v>
      </c>
      <c r="L7" s="66" t="s">
        <v>545</v>
      </c>
      <c r="M7" s="66" t="s">
        <v>479</v>
      </c>
      <c r="N7" s="163" t="s">
        <v>546</v>
      </c>
      <c r="O7" s="163" t="s">
        <v>547</v>
      </c>
      <c r="P7" s="163" t="s">
        <v>548</v>
      </c>
      <c r="Q7" s="163" t="s">
        <v>549</v>
      </c>
      <c r="R7" s="163" t="s">
        <v>550</v>
      </c>
      <c r="S7" s="164" t="s">
        <v>551</v>
      </c>
      <c r="T7" s="165" t="s">
        <v>552</v>
      </c>
      <c r="U7" s="163" t="s">
        <v>553</v>
      </c>
      <c r="V7" s="164" t="s">
        <v>554</v>
      </c>
      <c r="W7" s="66" t="s">
        <v>555</v>
      </c>
      <c r="X7" s="163" t="s">
        <v>556</v>
      </c>
      <c r="Y7" s="163" t="s">
        <v>557</v>
      </c>
      <c r="Z7" s="163" t="s">
        <v>558</v>
      </c>
      <c r="AA7" s="163" t="s">
        <v>559</v>
      </c>
      <c r="AB7" s="163" t="s">
        <v>560</v>
      </c>
      <c r="AD7" s="164" t="s">
        <v>561</v>
      </c>
      <c r="AE7" s="164" t="s">
        <v>562</v>
      </c>
      <c r="AF7" s="164" t="s">
        <v>563</v>
      </c>
      <c r="AG7" s="164" t="s">
        <v>564</v>
      </c>
      <c r="AH7" s="163" t="s">
        <v>489</v>
      </c>
      <c r="AI7" s="166" t="s">
        <v>565</v>
      </c>
      <c r="AJ7" s="66" t="s">
        <v>566</v>
      </c>
      <c r="AK7" s="163" t="s">
        <v>567</v>
      </c>
      <c r="AL7" s="163" t="s">
        <v>568</v>
      </c>
    </row>
    <row r="8" spans="1:39" x14ac:dyDescent="0.25">
      <c r="A8" s="13" t="s">
        <v>493</v>
      </c>
      <c r="B8" s="13" t="s">
        <v>569</v>
      </c>
      <c r="C8" s="13" t="s">
        <v>570</v>
      </c>
      <c r="D8" s="142">
        <v>5</v>
      </c>
      <c r="E8" s="142">
        <v>0</v>
      </c>
      <c r="F8" s="142">
        <v>0</v>
      </c>
      <c r="G8" s="142">
        <v>0</v>
      </c>
      <c r="H8" s="142">
        <v>0</v>
      </c>
      <c r="J8" s="143">
        <v>5</v>
      </c>
      <c r="K8" s="146" t="s">
        <v>494</v>
      </c>
      <c r="L8">
        <v>36</v>
      </c>
      <c r="M8" t="s">
        <v>495</v>
      </c>
      <c r="O8" s="260">
        <v>5.370569280343717E-2</v>
      </c>
      <c r="Q8" s="142">
        <v>1</v>
      </c>
      <c r="R8" s="143">
        <v>5</v>
      </c>
      <c r="S8" s="258">
        <v>46169</v>
      </c>
      <c r="T8" s="145" t="s">
        <v>571</v>
      </c>
      <c r="U8" s="261">
        <v>5.4</v>
      </c>
      <c r="V8" s="259">
        <v>46169</v>
      </c>
      <c r="W8" t="s">
        <v>571</v>
      </c>
      <c r="X8">
        <v>5</v>
      </c>
      <c r="Y8">
        <v>5</v>
      </c>
      <c r="Z8">
        <v>5</v>
      </c>
      <c r="AA8">
        <v>5</v>
      </c>
      <c r="AB8">
        <v>5</v>
      </c>
      <c r="AD8" s="259">
        <v>46169</v>
      </c>
      <c r="AE8" s="259">
        <v>46169</v>
      </c>
      <c r="AF8" s="259">
        <v>46169</v>
      </c>
      <c r="AG8" s="259">
        <v>46169</v>
      </c>
      <c r="AH8">
        <v>5</v>
      </c>
      <c r="AI8" s="142" t="s">
        <v>572</v>
      </c>
      <c r="AJ8" t="s">
        <v>571</v>
      </c>
      <c r="AM8" s="157"/>
    </row>
    <row r="9" spans="1:39" x14ac:dyDescent="0.25">
      <c r="A9" s="13" t="s">
        <v>493</v>
      </c>
      <c r="B9" s="13" t="s">
        <v>573</v>
      </c>
      <c r="C9" s="13" t="s">
        <v>574</v>
      </c>
      <c r="D9" s="142">
        <v>0</v>
      </c>
      <c r="E9" s="142">
        <v>0</v>
      </c>
      <c r="F9" s="142">
        <v>0</v>
      </c>
      <c r="G9" s="142">
        <v>0</v>
      </c>
      <c r="H9" s="142">
        <v>2</v>
      </c>
      <c r="J9" s="143">
        <v>2</v>
      </c>
      <c r="K9" s="146" t="s">
        <v>498</v>
      </c>
      <c r="L9">
        <v>20</v>
      </c>
      <c r="M9" t="s">
        <v>495</v>
      </c>
      <c r="O9" s="260">
        <v>2.1482277121374869E-2</v>
      </c>
      <c r="Q9" s="142">
        <v>1</v>
      </c>
      <c r="R9" s="143">
        <v>2</v>
      </c>
      <c r="S9" s="258">
        <v>46170</v>
      </c>
      <c r="T9" s="145" t="s">
        <v>571</v>
      </c>
      <c r="U9" s="261">
        <v>2.4</v>
      </c>
      <c r="V9" s="259">
        <v>46170</v>
      </c>
      <c r="W9" t="s">
        <v>571</v>
      </c>
      <c r="X9">
        <v>2</v>
      </c>
      <c r="Y9">
        <v>7</v>
      </c>
      <c r="Z9">
        <v>7</v>
      </c>
      <c r="AA9">
        <v>7</v>
      </c>
      <c r="AB9">
        <v>2</v>
      </c>
      <c r="AD9" s="259">
        <v>46170</v>
      </c>
      <c r="AE9" s="259">
        <v>46170</v>
      </c>
      <c r="AF9" s="259">
        <v>46170</v>
      </c>
      <c r="AG9" s="259">
        <v>46170</v>
      </c>
      <c r="AH9">
        <v>2</v>
      </c>
      <c r="AI9" s="142" t="s">
        <v>575</v>
      </c>
      <c r="AJ9" t="s">
        <v>571</v>
      </c>
      <c r="AM9" s="157"/>
    </row>
    <row r="10" spans="1:39" x14ac:dyDescent="0.25">
      <c r="A10" s="13" t="s">
        <v>493</v>
      </c>
      <c r="B10" s="13" t="s">
        <v>576</v>
      </c>
      <c r="C10" s="13" t="s">
        <v>577</v>
      </c>
      <c r="D10" s="142">
        <v>0</v>
      </c>
      <c r="E10" s="142">
        <v>3.5</v>
      </c>
      <c r="F10" s="142">
        <v>3.5</v>
      </c>
      <c r="G10" s="142">
        <v>0</v>
      </c>
      <c r="H10" s="142">
        <v>0</v>
      </c>
      <c r="J10" s="143">
        <v>7</v>
      </c>
      <c r="K10" s="146" t="s">
        <v>501</v>
      </c>
      <c r="L10">
        <v>64</v>
      </c>
      <c r="M10" t="s">
        <v>495</v>
      </c>
      <c r="O10" s="260">
        <v>7.518796992481204E-2</v>
      </c>
      <c r="Q10" s="142">
        <v>2</v>
      </c>
      <c r="R10" s="143">
        <v>7</v>
      </c>
      <c r="S10" s="258">
        <v>46175</v>
      </c>
      <c r="T10" s="145" t="s">
        <v>571</v>
      </c>
      <c r="U10" s="261">
        <v>7.4</v>
      </c>
      <c r="V10" s="259">
        <v>46175</v>
      </c>
      <c r="W10" t="s">
        <v>571</v>
      </c>
      <c r="X10">
        <v>7</v>
      </c>
      <c r="Y10">
        <v>14</v>
      </c>
      <c r="Z10">
        <v>14</v>
      </c>
      <c r="AA10">
        <v>14</v>
      </c>
      <c r="AB10">
        <v>7</v>
      </c>
      <c r="AD10" s="259">
        <v>46175</v>
      </c>
      <c r="AE10" s="259">
        <v>46175</v>
      </c>
      <c r="AF10" s="259">
        <v>46175</v>
      </c>
      <c r="AG10" s="259">
        <v>46175</v>
      </c>
      <c r="AH10">
        <v>7</v>
      </c>
      <c r="AI10" s="142" t="s">
        <v>578</v>
      </c>
      <c r="AJ10" t="s">
        <v>571</v>
      </c>
      <c r="AM10" s="157"/>
    </row>
    <row r="11" spans="1:39" x14ac:dyDescent="0.25">
      <c r="A11" s="13" t="s">
        <v>493</v>
      </c>
      <c r="B11" s="13" t="s">
        <v>576</v>
      </c>
      <c r="C11" s="13" t="s">
        <v>579</v>
      </c>
      <c r="D11" s="142">
        <v>0</v>
      </c>
      <c r="E11" s="142">
        <v>0</v>
      </c>
      <c r="F11" s="142">
        <v>3</v>
      </c>
      <c r="G11" s="142">
        <v>0</v>
      </c>
      <c r="H11" s="142">
        <v>1</v>
      </c>
      <c r="J11" s="143">
        <v>4</v>
      </c>
      <c r="K11" s="146" t="s">
        <v>504</v>
      </c>
      <c r="L11">
        <v>96</v>
      </c>
      <c r="M11" t="s">
        <v>495</v>
      </c>
      <c r="O11" s="260">
        <v>4.2964554242749732E-2</v>
      </c>
      <c r="Q11" s="142">
        <v>2</v>
      </c>
      <c r="R11" s="143">
        <v>4</v>
      </c>
      <c r="S11" s="258">
        <v>46176</v>
      </c>
      <c r="T11" s="145" t="s">
        <v>396</v>
      </c>
      <c r="U11" s="261">
        <v>4.2</v>
      </c>
      <c r="V11" s="259">
        <v>46176</v>
      </c>
      <c r="W11" t="s">
        <v>396</v>
      </c>
      <c r="X11">
        <v>4</v>
      </c>
      <c r="Y11">
        <v>18</v>
      </c>
      <c r="Z11">
        <v>18</v>
      </c>
      <c r="AA11">
        <v>18</v>
      </c>
      <c r="AB11">
        <v>4</v>
      </c>
      <c r="AD11" s="259">
        <v>46176</v>
      </c>
      <c r="AE11" s="259">
        <v>46176</v>
      </c>
      <c r="AF11" s="259">
        <v>46176</v>
      </c>
      <c r="AG11" s="259">
        <v>46176</v>
      </c>
      <c r="AH11">
        <v>4</v>
      </c>
      <c r="AI11" s="142" t="s">
        <v>580</v>
      </c>
      <c r="AJ11" t="s">
        <v>396</v>
      </c>
      <c r="AM11" s="157"/>
    </row>
    <row r="12" spans="1:39" x14ac:dyDescent="0.25">
      <c r="A12" s="13" t="s">
        <v>493</v>
      </c>
      <c r="B12" s="13" t="s">
        <v>581</v>
      </c>
      <c r="C12" s="13" t="s">
        <v>582</v>
      </c>
      <c r="D12" s="142">
        <v>3</v>
      </c>
      <c r="E12" s="142">
        <v>4</v>
      </c>
      <c r="F12" s="142">
        <v>0</v>
      </c>
      <c r="G12" s="142">
        <v>0</v>
      </c>
      <c r="H12" s="142">
        <v>0</v>
      </c>
      <c r="J12" s="143">
        <v>7</v>
      </c>
      <c r="K12" s="146" t="s">
        <v>412</v>
      </c>
      <c r="L12">
        <v>65</v>
      </c>
      <c r="M12" t="s">
        <v>495</v>
      </c>
      <c r="O12" s="260">
        <v>7.518796992481204E-2</v>
      </c>
      <c r="Q12" s="142">
        <v>2</v>
      </c>
      <c r="R12" s="143">
        <v>7</v>
      </c>
      <c r="S12" s="258">
        <v>46176</v>
      </c>
      <c r="T12" s="145" t="s">
        <v>396</v>
      </c>
      <c r="U12" s="261">
        <v>7.2</v>
      </c>
      <c r="V12" s="259">
        <v>46176</v>
      </c>
      <c r="W12" t="s">
        <v>396</v>
      </c>
      <c r="X12">
        <v>7</v>
      </c>
      <c r="Y12">
        <v>25</v>
      </c>
      <c r="Z12">
        <v>25</v>
      </c>
      <c r="AA12">
        <v>25</v>
      </c>
      <c r="AB12">
        <v>7</v>
      </c>
      <c r="AD12" s="259">
        <v>46176</v>
      </c>
      <c r="AE12" s="259">
        <v>46176</v>
      </c>
      <c r="AF12" s="259">
        <v>46176</v>
      </c>
      <c r="AG12" s="259">
        <v>46176</v>
      </c>
      <c r="AH12">
        <v>7</v>
      </c>
      <c r="AI12" s="142" t="s">
        <v>583</v>
      </c>
      <c r="AJ12" t="s">
        <v>396</v>
      </c>
      <c r="AM12" s="157"/>
    </row>
    <row r="13" spans="1:39" x14ac:dyDescent="0.25">
      <c r="A13" s="13" t="s">
        <v>493</v>
      </c>
      <c r="B13" s="13" t="s">
        <v>576</v>
      </c>
      <c r="C13" s="13" t="s">
        <v>584</v>
      </c>
      <c r="D13" s="142">
        <v>0</v>
      </c>
      <c r="E13" s="142">
        <v>3.5</v>
      </c>
      <c r="F13" s="142">
        <v>0</v>
      </c>
      <c r="G13" s="142">
        <v>0</v>
      </c>
      <c r="H13" s="142">
        <v>0</v>
      </c>
      <c r="J13" s="143">
        <v>3.5</v>
      </c>
      <c r="K13" s="146" t="s">
        <v>509</v>
      </c>
      <c r="L13">
        <v>16</v>
      </c>
      <c r="M13" t="s">
        <v>495</v>
      </c>
      <c r="O13" s="260">
        <v>3.759398496240602E-2</v>
      </c>
      <c r="Q13" s="142">
        <v>1</v>
      </c>
      <c r="R13" s="143">
        <v>3.5</v>
      </c>
      <c r="S13" s="258">
        <v>46177</v>
      </c>
      <c r="T13" s="145" t="s">
        <v>396</v>
      </c>
      <c r="U13" s="261">
        <v>3.6</v>
      </c>
      <c r="V13" s="259">
        <v>46177</v>
      </c>
      <c r="W13" t="s">
        <v>396</v>
      </c>
      <c r="X13">
        <v>3.5</v>
      </c>
      <c r="Y13">
        <v>28.5</v>
      </c>
      <c r="Z13">
        <v>28.5</v>
      </c>
      <c r="AA13">
        <v>28.5</v>
      </c>
      <c r="AB13">
        <v>3.5</v>
      </c>
      <c r="AD13" s="259">
        <v>46177</v>
      </c>
      <c r="AE13" s="259">
        <v>46177</v>
      </c>
      <c r="AF13" s="259">
        <v>46177</v>
      </c>
      <c r="AG13" s="259">
        <v>46177</v>
      </c>
      <c r="AH13">
        <v>3.5</v>
      </c>
      <c r="AI13" s="142" t="s">
        <v>585</v>
      </c>
      <c r="AJ13" t="s">
        <v>396</v>
      </c>
      <c r="AM13" s="157"/>
    </row>
    <row r="14" spans="1:39" x14ac:dyDescent="0.25">
      <c r="A14" s="13" t="s">
        <v>493</v>
      </c>
      <c r="B14" s="13" t="s">
        <v>576</v>
      </c>
      <c r="C14" s="13" t="s">
        <v>586</v>
      </c>
      <c r="D14" s="142">
        <v>0</v>
      </c>
      <c r="E14" s="142">
        <v>5</v>
      </c>
      <c r="F14" s="142">
        <v>0</v>
      </c>
      <c r="G14" s="142">
        <v>0</v>
      </c>
      <c r="H14" s="142">
        <v>3</v>
      </c>
      <c r="J14" s="143">
        <v>8</v>
      </c>
      <c r="K14" s="146" t="s">
        <v>512</v>
      </c>
      <c r="L14">
        <v>116</v>
      </c>
      <c r="M14" t="s">
        <v>495</v>
      </c>
      <c r="O14" s="260">
        <v>8.5929108485499464E-2</v>
      </c>
      <c r="Q14" s="142">
        <v>2</v>
      </c>
      <c r="R14" s="143">
        <v>8</v>
      </c>
      <c r="S14" s="258">
        <v>46177</v>
      </c>
      <c r="T14" s="145" t="s">
        <v>396</v>
      </c>
      <c r="U14" s="261">
        <v>8.4</v>
      </c>
      <c r="V14" s="259">
        <v>46177</v>
      </c>
      <c r="W14" t="s">
        <v>396</v>
      </c>
      <c r="X14">
        <v>8</v>
      </c>
      <c r="Y14">
        <v>36.5</v>
      </c>
      <c r="Z14">
        <v>36.5</v>
      </c>
      <c r="AA14">
        <v>36.5</v>
      </c>
      <c r="AB14">
        <v>8</v>
      </c>
      <c r="AD14" s="259">
        <v>46177</v>
      </c>
      <c r="AE14" s="259">
        <v>46177</v>
      </c>
      <c r="AF14" s="259">
        <v>46177</v>
      </c>
      <c r="AG14" s="259">
        <v>46177</v>
      </c>
      <c r="AH14">
        <v>8</v>
      </c>
      <c r="AI14" s="142" t="s">
        <v>587</v>
      </c>
      <c r="AJ14" t="s">
        <v>396</v>
      </c>
      <c r="AM14" s="157"/>
    </row>
    <row r="15" spans="1:39" x14ac:dyDescent="0.25">
      <c r="A15" s="13" t="s">
        <v>493</v>
      </c>
      <c r="B15" s="13" t="s">
        <v>576</v>
      </c>
      <c r="C15" s="13" t="s">
        <v>588</v>
      </c>
      <c r="D15" s="142">
        <v>0</v>
      </c>
      <c r="E15" s="142">
        <v>5</v>
      </c>
      <c r="F15" s="142">
        <v>3</v>
      </c>
      <c r="G15" s="142">
        <v>0</v>
      </c>
      <c r="H15" s="142">
        <v>0</v>
      </c>
      <c r="J15" s="143">
        <v>8</v>
      </c>
      <c r="K15" s="146" t="s">
        <v>515</v>
      </c>
      <c r="L15">
        <v>93</v>
      </c>
      <c r="M15" t="s">
        <v>495</v>
      </c>
      <c r="O15" s="260">
        <v>8.5929108485499464E-2</v>
      </c>
      <c r="Q15" s="142">
        <v>2</v>
      </c>
      <c r="R15" s="143">
        <v>8</v>
      </c>
      <c r="S15" s="258">
        <v>46178</v>
      </c>
      <c r="T15" s="145" t="s">
        <v>396</v>
      </c>
      <c r="U15" s="261">
        <v>8.4</v>
      </c>
      <c r="V15" s="259">
        <v>46178</v>
      </c>
      <c r="W15" t="s">
        <v>396</v>
      </c>
      <c r="X15">
        <v>8</v>
      </c>
      <c r="Y15">
        <v>44.5</v>
      </c>
      <c r="Z15">
        <v>44.5</v>
      </c>
      <c r="AA15">
        <v>44.5</v>
      </c>
      <c r="AB15">
        <v>8</v>
      </c>
      <c r="AD15" s="259">
        <v>46178</v>
      </c>
      <c r="AE15" s="259">
        <v>46178</v>
      </c>
      <c r="AF15" s="259">
        <v>46178</v>
      </c>
      <c r="AG15" s="259">
        <v>46178</v>
      </c>
      <c r="AH15">
        <v>8</v>
      </c>
      <c r="AI15" s="142" t="s">
        <v>589</v>
      </c>
      <c r="AJ15" t="s">
        <v>396</v>
      </c>
      <c r="AM15" s="157"/>
    </row>
    <row r="16" spans="1:39" x14ac:dyDescent="0.25">
      <c r="A16" s="13" t="s">
        <v>493</v>
      </c>
      <c r="B16" s="13" t="s">
        <v>576</v>
      </c>
      <c r="C16" s="13" t="s">
        <v>590</v>
      </c>
      <c r="D16" s="142">
        <v>0</v>
      </c>
      <c r="E16" s="142">
        <v>2.5</v>
      </c>
      <c r="F16" s="142">
        <v>3</v>
      </c>
      <c r="G16" s="142">
        <v>0</v>
      </c>
      <c r="H16" s="142">
        <v>0</v>
      </c>
      <c r="J16" s="143">
        <v>5.5</v>
      </c>
      <c r="K16" s="146" t="s">
        <v>501</v>
      </c>
      <c r="L16">
        <v>45</v>
      </c>
      <c r="M16" t="s">
        <v>495</v>
      </c>
      <c r="O16" s="260">
        <v>5.9076262083780882E-2</v>
      </c>
      <c r="Q16" s="142">
        <v>2</v>
      </c>
      <c r="R16" s="143">
        <v>5.5</v>
      </c>
      <c r="S16" s="258">
        <v>46178</v>
      </c>
      <c r="T16" s="145" t="s">
        <v>396</v>
      </c>
      <c r="U16" s="261">
        <v>5.7</v>
      </c>
      <c r="V16" s="259">
        <v>46178</v>
      </c>
      <c r="W16" t="s">
        <v>396</v>
      </c>
      <c r="X16">
        <v>5.5</v>
      </c>
      <c r="Y16">
        <v>50</v>
      </c>
      <c r="Z16">
        <v>50</v>
      </c>
      <c r="AA16">
        <v>50</v>
      </c>
      <c r="AB16">
        <v>5.5</v>
      </c>
      <c r="AD16" s="259">
        <v>46178</v>
      </c>
      <c r="AE16" s="259">
        <v>46178</v>
      </c>
      <c r="AF16" s="259">
        <v>46178</v>
      </c>
      <c r="AG16" s="259">
        <v>46178</v>
      </c>
      <c r="AH16">
        <v>5.5</v>
      </c>
      <c r="AI16" s="142" t="s">
        <v>591</v>
      </c>
      <c r="AJ16" t="s">
        <v>396</v>
      </c>
      <c r="AM16" s="157"/>
    </row>
    <row r="17" spans="1:39" x14ac:dyDescent="0.25">
      <c r="A17" s="13" t="s">
        <v>493</v>
      </c>
      <c r="B17" s="13" t="s">
        <v>576</v>
      </c>
      <c r="C17" s="13" t="s">
        <v>592</v>
      </c>
      <c r="D17" s="142">
        <v>1</v>
      </c>
      <c r="E17" s="142">
        <v>0</v>
      </c>
      <c r="F17" s="142">
        <v>0</v>
      </c>
      <c r="G17" s="142">
        <v>0</v>
      </c>
      <c r="H17" s="142">
        <v>1.5</v>
      </c>
      <c r="J17" s="143">
        <v>2.5</v>
      </c>
      <c r="K17" s="146" t="s">
        <v>520</v>
      </c>
      <c r="L17">
        <v>12</v>
      </c>
      <c r="M17" t="s">
        <v>495</v>
      </c>
      <c r="O17" s="260">
        <v>2.6852846401718589E-2</v>
      </c>
      <c r="Q17" s="142">
        <v>2</v>
      </c>
      <c r="R17" s="143">
        <v>2.5</v>
      </c>
      <c r="S17" s="258">
        <v>46179</v>
      </c>
      <c r="T17" s="145" t="s">
        <v>396</v>
      </c>
      <c r="U17" s="261">
        <v>2.2999999999999998</v>
      </c>
      <c r="V17" s="259">
        <v>46179</v>
      </c>
      <c r="W17" t="s">
        <v>396</v>
      </c>
      <c r="X17">
        <v>2.5</v>
      </c>
      <c r="Y17">
        <v>52.5</v>
      </c>
      <c r="Z17">
        <v>52.5</v>
      </c>
      <c r="AA17">
        <v>52.5</v>
      </c>
      <c r="AB17">
        <v>2.5</v>
      </c>
      <c r="AD17" s="259">
        <v>46179</v>
      </c>
      <c r="AE17" s="259">
        <v>46179</v>
      </c>
      <c r="AF17" s="259">
        <v>46179</v>
      </c>
      <c r="AG17" s="259">
        <v>46179</v>
      </c>
      <c r="AH17">
        <v>2.5</v>
      </c>
      <c r="AI17" s="142" t="s">
        <v>593</v>
      </c>
      <c r="AJ17" t="s">
        <v>396</v>
      </c>
      <c r="AM17" s="157"/>
    </row>
    <row r="18" spans="1:39" x14ac:dyDescent="0.25">
      <c r="A18" s="13" t="s">
        <v>493</v>
      </c>
      <c r="B18" s="13" t="s">
        <v>569</v>
      </c>
      <c r="C18" s="13" t="s">
        <v>594</v>
      </c>
      <c r="D18" s="142">
        <v>1</v>
      </c>
      <c r="E18" s="142">
        <v>0</v>
      </c>
      <c r="F18" s="142">
        <v>0</v>
      </c>
      <c r="G18" s="142">
        <v>1.5</v>
      </c>
      <c r="H18" s="142">
        <v>0</v>
      </c>
      <c r="J18" s="143">
        <v>2.5</v>
      </c>
      <c r="K18" s="146" t="s">
        <v>523</v>
      </c>
      <c r="L18">
        <v>40</v>
      </c>
      <c r="M18" t="s">
        <v>495</v>
      </c>
      <c r="O18" s="260">
        <v>2.6852846401718589E-2</v>
      </c>
      <c r="Q18" s="142">
        <v>2</v>
      </c>
      <c r="R18" s="143">
        <v>2.5</v>
      </c>
      <c r="S18" s="258">
        <v>46179</v>
      </c>
      <c r="T18" s="145" t="s">
        <v>396</v>
      </c>
      <c r="U18" s="261">
        <v>2.7</v>
      </c>
      <c r="V18" s="259">
        <v>46179</v>
      </c>
      <c r="W18" t="s">
        <v>396</v>
      </c>
      <c r="X18">
        <v>2.5</v>
      </c>
      <c r="Y18">
        <v>55</v>
      </c>
      <c r="Z18">
        <v>55</v>
      </c>
      <c r="AA18">
        <v>55</v>
      </c>
      <c r="AB18">
        <v>2.5</v>
      </c>
      <c r="AD18" s="259">
        <v>46179</v>
      </c>
      <c r="AE18" s="259">
        <v>46179</v>
      </c>
      <c r="AF18" s="259">
        <v>46179</v>
      </c>
      <c r="AG18" s="259">
        <v>46179</v>
      </c>
      <c r="AH18">
        <v>2.5</v>
      </c>
      <c r="AI18" s="142" t="s">
        <v>595</v>
      </c>
      <c r="AJ18" t="s">
        <v>396</v>
      </c>
      <c r="AM18" s="157"/>
    </row>
    <row r="19" spans="1:39" x14ac:dyDescent="0.25">
      <c r="A19" s="13" t="s">
        <v>493</v>
      </c>
      <c r="B19" s="13" t="s">
        <v>596</v>
      </c>
      <c r="C19" s="13" t="s">
        <v>597</v>
      </c>
      <c r="D19" s="142">
        <v>0</v>
      </c>
      <c r="E19" s="142">
        <v>0</v>
      </c>
      <c r="F19" s="142">
        <v>0</v>
      </c>
      <c r="G19" s="142">
        <v>6</v>
      </c>
      <c r="H19" s="142">
        <v>3</v>
      </c>
      <c r="J19" s="143">
        <v>9</v>
      </c>
      <c r="K19" s="146" t="s">
        <v>402</v>
      </c>
      <c r="L19">
        <v>85</v>
      </c>
      <c r="M19" t="s">
        <v>495</v>
      </c>
      <c r="O19" s="260">
        <v>9.6670247046186902E-2</v>
      </c>
      <c r="Q19" s="142">
        <v>2</v>
      </c>
      <c r="R19" s="143">
        <v>9</v>
      </c>
      <c r="S19" s="258">
        <v>46180</v>
      </c>
      <c r="T19" s="145" t="s">
        <v>396</v>
      </c>
      <c r="U19" s="261">
        <v>9.5</v>
      </c>
      <c r="V19" s="259">
        <v>46180</v>
      </c>
      <c r="W19" t="s">
        <v>396</v>
      </c>
      <c r="X19">
        <v>9</v>
      </c>
      <c r="Y19">
        <v>64</v>
      </c>
      <c r="Z19">
        <v>64</v>
      </c>
      <c r="AA19">
        <v>64</v>
      </c>
      <c r="AB19">
        <v>9</v>
      </c>
      <c r="AD19" s="259">
        <v>46180</v>
      </c>
      <c r="AE19" s="259">
        <v>46180</v>
      </c>
      <c r="AF19" s="259">
        <v>46180</v>
      </c>
      <c r="AG19" s="259">
        <v>46180</v>
      </c>
      <c r="AH19">
        <v>9</v>
      </c>
      <c r="AI19" s="142" t="s">
        <v>598</v>
      </c>
      <c r="AJ19" t="s">
        <v>396</v>
      </c>
      <c r="AM19" s="157"/>
    </row>
    <row r="20" spans="1:39" x14ac:dyDescent="0.25">
      <c r="A20" s="13" t="s">
        <v>493</v>
      </c>
      <c r="B20" s="13" t="s">
        <v>337</v>
      </c>
      <c r="C20" s="13" t="s">
        <v>599</v>
      </c>
      <c r="D20" s="142">
        <v>1</v>
      </c>
      <c r="E20" s="142">
        <v>3</v>
      </c>
      <c r="F20" s="142">
        <v>1</v>
      </c>
      <c r="G20" s="142">
        <v>1.5</v>
      </c>
      <c r="H20" s="142">
        <v>1</v>
      </c>
      <c r="J20" s="143">
        <v>7.5</v>
      </c>
      <c r="K20" s="146" t="s">
        <v>528</v>
      </c>
      <c r="L20">
        <v>66</v>
      </c>
      <c r="M20" t="s">
        <v>495</v>
      </c>
      <c r="O20" s="260">
        <v>8.0558539205155752E-2</v>
      </c>
      <c r="Q20" s="142">
        <v>5</v>
      </c>
      <c r="R20" s="143">
        <v>7.5</v>
      </c>
      <c r="S20" s="258">
        <v>46181</v>
      </c>
      <c r="T20" s="145" t="s">
        <v>396</v>
      </c>
      <c r="U20" s="261">
        <v>8.1999999999999993</v>
      </c>
      <c r="V20" s="259">
        <v>46181</v>
      </c>
      <c r="W20" t="s">
        <v>396</v>
      </c>
      <c r="X20">
        <v>7.5</v>
      </c>
      <c r="Y20">
        <v>71.5</v>
      </c>
      <c r="Z20">
        <v>71.5</v>
      </c>
      <c r="AA20">
        <v>71.5</v>
      </c>
      <c r="AB20">
        <v>7.5</v>
      </c>
      <c r="AD20" s="259">
        <v>46181</v>
      </c>
      <c r="AE20" s="259">
        <v>46181</v>
      </c>
      <c r="AF20" s="259">
        <v>46181</v>
      </c>
      <c r="AG20" s="259">
        <v>46181</v>
      </c>
      <c r="AH20">
        <v>7.5</v>
      </c>
      <c r="AI20" s="142" t="s">
        <v>600</v>
      </c>
      <c r="AJ20" t="s">
        <v>396</v>
      </c>
      <c r="AM20" s="157"/>
    </row>
    <row r="21" spans="1:39" x14ac:dyDescent="0.25">
      <c r="A21" s="13" t="s">
        <v>493</v>
      </c>
      <c r="B21" s="13" t="s">
        <v>601</v>
      </c>
      <c r="C21" s="13" t="s">
        <v>602</v>
      </c>
      <c r="D21" s="142">
        <v>0</v>
      </c>
      <c r="E21" s="142">
        <v>0</v>
      </c>
      <c r="F21" s="142">
        <v>9.5</v>
      </c>
      <c r="G21" s="142">
        <v>0</v>
      </c>
      <c r="H21" s="142">
        <v>0</v>
      </c>
      <c r="J21" s="143">
        <v>9.5</v>
      </c>
      <c r="K21" s="146" t="s">
        <v>391</v>
      </c>
      <c r="L21">
        <v>146</v>
      </c>
      <c r="M21" t="s">
        <v>495</v>
      </c>
      <c r="O21" s="260">
        <v>0.1020408163265306</v>
      </c>
      <c r="Q21" s="142">
        <v>1</v>
      </c>
      <c r="R21" s="143">
        <v>9.5</v>
      </c>
      <c r="S21" s="258">
        <v>46181</v>
      </c>
      <c r="T21" s="145" t="s">
        <v>396</v>
      </c>
      <c r="U21" s="261">
        <v>9.6999999999999993</v>
      </c>
      <c r="V21" s="259">
        <v>46181</v>
      </c>
      <c r="W21" t="s">
        <v>396</v>
      </c>
      <c r="X21">
        <v>9.5</v>
      </c>
      <c r="Y21">
        <v>81</v>
      </c>
      <c r="Z21">
        <v>81</v>
      </c>
      <c r="AA21">
        <v>81</v>
      </c>
      <c r="AB21">
        <v>9.5</v>
      </c>
      <c r="AD21" s="259">
        <v>46181</v>
      </c>
      <c r="AE21" s="259">
        <v>46181</v>
      </c>
      <c r="AF21" s="259">
        <v>46181</v>
      </c>
      <c r="AG21" s="259">
        <v>46181</v>
      </c>
      <c r="AH21">
        <v>9.5</v>
      </c>
      <c r="AI21" s="142" t="s">
        <v>603</v>
      </c>
      <c r="AJ21" t="s">
        <v>396</v>
      </c>
      <c r="AM21" s="157"/>
    </row>
    <row r="22" spans="1:39" x14ac:dyDescent="0.25">
      <c r="A22" s="13" t="s">
        <v>493</v>
      </c>
      <c r="B22" s="13" t="s">
        <v>569</v>
      </c>
      <c r="C22" s="13" t="s">
        <v>604</v>
      </c>
      <c r="D22" s="142">
        <v>4.2</v>
      </c>
      <c r="E22" s="142">
        <v>0</v>
      </c>
      <c r="F22" s="142">
        <v>0</v>
      </c>
      <c r="G22" s="142">
        <v>5.3</v>
      </c>
      <c r="H22" s="142">
        <v>0</v>
      </c>
      <c r="J22" s="143">
        <v>9.5</v>
      </c>
      <c r="K22" s="146" t="s">
        <v>533</v>
      </c>
      <c r="L22">
        <v>171</v>
      </c>
      <c r="M22" t="s">
        <v>495</v>
      </c>
      <c r="O22" s="260">
        <v>0.1020408163265306</v>
      </c>
      <c r="Q22" s="142">
        <v>2</v>
      </c>
      <c r="R22" s="143">
        <v>9.5</v>
      </c>
      <c r="S22" s="258">
        <v>46196</v>
      </c>
      <c r="T22" s="145" t="s">
        <v>396</v>
      </c>
      <c r="U22" s="261">
        <v>10</v>
      </c>
      <c r="V22" s="259">
        <v>46196</v>
      </c>
      <c r="W22" t="s">
        <v>396</v>
      </c>
      <c r="X22">
        <v>9.5</v>
      </c>
      <c r="Y22">
        <v>90.5</v>
      </c>
      <c r="Z22">
        <v>90.5</v>
      </c>
      <c r="AA22">
        <v>90.5</v>
      </c>
      <c r="AB22">
        <v>9.5</v>
      </c>
      <c r="AD22" s="259">
        <v>46196</v>
      </c>
      <c r="AE22" s="259">
        <v>46196</v>
      </c>
      <c r="AF22" s="259">
        <v>46196</v>
      </c>
      <c r="AG22" s="259">
        <v>46196</v>
      </c>
      <c r="AH22">
        <v>9.5</v>
      </c>
      <c r="AI22" s="142" t="s">
        <v>605</v>
      </c>
      <c r="AJ22" t="s">
        <v>396</v>
      </c>
      <c r="AM22" s="157"/>
    </row>
    <row r="23" spans="1:39" x14ac:dyDescent="0.25">
      <c r="A23" s="13" t="s">
        <v>493</v>
      </c>
      <c r="B23" s="13" t="s">
        <v>573</v>
      </c>
      <c r="C23" s="13" t="s">
        <v>606</v>
      </c>
      <c r="D23" s="142">
        <v>0</v>
      </c>
      <c r="E23" s="142">
        <v>0</v>
      </c>
      <c r="F23" s="142">
        <v>0</v>
      </c>
      <c r="G23" s="142">
        <v>0</v>
      </c>
      <c r="H23" s="142">
        <v>2.6</v>
      </c>
      <c r="J23" s="143">
        <v>2.6</v>
      </c>
      <c r="K23" s="146" t="s">
        <v>536</v>
      </c>
      <c r="L23">
        <v>20</v>
      </c>
      <c r="M23" t="s">
        <v>495</v>
      </c>
      <c r="O23" s="260">
        <v>2.792696025778733E-2</v>
      </c>
      <c r="Q23" s="142">
        <v>1</v>
      </c>
      <c r="R23" s="143">
        <v>2.6</v>
      </c>
      <c r="S23" s="258">
        <v>46196</v>
      </c>
      <c r="T23" s="145" t="s">
        <v>396</v>
      </c>
      <c r="U23" s="261">
        <v>2.4</v>
      </c>
      <c r="V23" s="259">
        <v>46196</v>
      </c>
      <c r="W23" t="s">
        <v>396</v>
      </c>
      <c r="X23">
        <v>2.6</v>
      </c>
      <c r="Y23">
        <v>93.1</v>
      </c>
      <c r="Z23">
        <v>93.1</v>
      </c>
      <c r="AA23">
        <v>93.1</v>
      </c>
      <c r="AB23">
        <v>2.6</v>
      </c>
      <c r="AD23" s="259">
        <v>46196</v>
      </c>
      <c r="AE23" s="259">
        <v>46196</v>
      </c>
      <c r="AF23" s="259">
        <v>46196</v>
      </c>
      <c r="AG23" s="259">
        <v>46196</v>
      </c>
      <c r="AH23">
        <v>2.6</v>
      </c>
      <c r="AI23" s="142" t="s">
        <v>607</v>
      </c>
      <c r="AJ23" t="s">
        <v>396</v>
      </c>
      <c r="AM23" s="157"/>
    </row>
    <row r="24" spans="1:39" x14ac:dyDescent="0.25">
      <c r="K24" s="146"/>
      <c r="AI24" s="142"/>
      <c r="AM24" s="157"/>
    </row>
    <row r="25" spans="1:39" x14ac:dyDescent="0.25">
      <c r="K25" s="146"/>
      <c r="AI25" s="142"/>
      <c r="AM25" s="157"/>
    </row>
    <row r="26" spans="1:39" x14ac:dyDescent="0.25">
      <c r="K26" s="146"/>
      <c r="AI26" s="142"/>
      <c r="AM26" s="157"/>
    </row>
    <row r="27" spans="1:39" x14ac:dyDescent="0.25">
      <c r="K27" s="146"/>
      <c r="AI27" s="142"/>
      <c r="AM27" s="157"/>
    </row>
    <row r="28" spans="1:39" x14ac:dyDescent="0.25">
      <c r="K28" s="146"/>
      <c r="AI28" s="142"/>
      <c r="AM28" s="157"/>
    </row>
    <row r="29" spans="1:39" x14ac:dyDescent="0.25">
      <c r="AI29" s="142"/>
      <c r="AM29" s="157"/>
    </row>
    <row r="30" spans="1:39" x14ac:dyDescent="0.25">
      <c r="K30" s="146"/>
      <c r="AI30" s="142"/>
      <c r="AM30" s="157"/>
    </row>
    <row r="31" spans="1:39" x14ac:dyDescent="0.25">
      <c r="K31" s="146"/>
      <c r="AI31" s="142"/>
      <c r="AM31" s="157"/>
    </row>
    <row r="32" spans="1:39" x14ac:dyDescent="0.25">
      <c r="K32" s="146"/>
      <c r="AI32" s="142"/>
      <c r="AM32" s="157"/>
    </row>
    <row r="33" spans="1:39" x14ac:dyDescent="0.25">
      <c r="K33" s="146"/>
      <c r="AI33" s="142"/>
      <c r="AM33" s="157"/>
    </row>
    <row r="34" spans="1:39" x14ac:dyDescent="0.25">
      <c r="K34" s="146"/>
      <c r="AI34" s="142"/>
      <c r="AM34" s="157"/>
    </row>
    <row r="35" spans="1:39" x14ac:dyDescent="0.25">
      <c r="AI35" s="142"/>
      <c r="AM35" s="157"/>
    </row>
    <row r="36" spans="1:39" x14ac:dyDescent="0.25">
      <c r="K36" s="146"/>
      <c r="AI36" s="142"/>
      <c r="AM36" s="157"/>
    </row>
    <row r="37" spans="1:39" x14ac:dyDescent="0.25">
      <c r="K37" s="146"/>
      <c r="AI37" s="142"/>
      <c r="AM37" s="157"/>
    </row>
    <row r="38" spans="1:39" x14ac:dyDescent="0.25">
      <c r="AI38" s="142"/>
      <c r="AM38" s="157"/>
    </row>
    <row r="39" spans="1:39" x14ac:dyDescent="0.25">
      <c r="K39" s="146"/>
      <c r="AI39" s="142"/>
      <c r="AM39" s="157"/>
    </row>
    <row r="40" spans="1:39" x14ac:dyDescent="0.25">
      <c r="K40" s="146"/>
      <c r="AI40" s="142"/>
      <c r="AM40" s="157"/>
    </row>
    <row r="41" spans="1:39" x14ac:dyDescent="0.25">
      <c r="K41" s="146"/>
      <c r="AI41" s="142"/>
      <c r="AM41" s="157"/>
    </row>
    <row r="42" spans="1:39" x14ac:dyDescent="0.25">
      <c r="A42" s="9"/>
      <c r="K42" s="146"/>
      <c r="AI42" s="142"/>
      <c r="AM42" s="157"/>
    </row>
    <row r="43" spans="1:39" x14ac:dyDescent="0.25">
      <c r="AI43" s="142"/>
      <c r="AM43" s="157"/>
    </row>
    <row r="44" spans="1:39" x14ac:dyDescent="0.25">
      <c r="AI44" s="142"/>
      <c r="AM44" s="157"/>
    </row>
    <row r="45" spans="1:39" x14ac:dyDescent="0.25">
      <c r="AI45" s="142"/>
      <c r="AM45" s="157"/>
    </row>
    <row r="46" spans="1:39" x14ac:dyDescent="0.25">
      <c r="AI46" s="142"/>
      <c r="AM46" s="157"/>
    </row>
    <row r="47" spans="1:39" x14ac:dyDescent="0.25">
      <c r="AI47" s="142"/>
      <c r="AM47" s="157"/>
    </row>
    <row r="48" spans="1:39" x14ac:dyDescent="0.25">
      <c r="K48" s="146"/>
      <c r="AI48" s="142"/>
      <c r="AM48" s="157"/>
    </row>
    <row r="49" spans="11:39" x14ac:dyDescent="0.25">
      <c r="K49" s="146"/>
      <c r="AI49" s="142"/>
      <c r="AM49" s="157"/>
    </row>
    <row r="50" spans="11:39" x14ac:dyDescent="0.25">
      <c r="K50" s="146"/>
      <c r="AI50" s="142"/>
      <c r="AM50" s="157"/>
    </row>
    <row r="51" spans="11:39" x14ac:dyDescent="0.25">
      <c r="K51" s="146"/>
      <c r="AI51" s="142"/>
      <c r="AM51" s="157"/>
    </row>
    <row r="52" spans="11:39" x14ac:dyDescent="0.25">
      <c r="K52" s="146"/>
      <c r="AI52" s="142"/>
      <c r="AM52" s="157"/>
    </row>
    <row r="53" spans="11:39" x14ac:dyDescent="0.25">
      <c r="K53" s="146"/>
      <c r="AI53" s="142"/>
      <c r="AM53" s="157"/>
    </row>
    <row r="54" spans="11:39" x14ac:dyDescent="0.25">
      <c r="K54" s="146"/>
      <c r="AI54" s="142"/>
      <c r="AM54" s="157"/>
    </row>
    <row r="55" spans="11:39" x14ac:dyDescent="0.25">
      <c r="AI55" s="142"/>
      <c r="AM55" s="157"/>
    </row>
    <row r="56" spans="11:39" x14ac:dyDescent="0.25">
      <c r="K56" s="146"/>
      <c r="AI56" s="142"/>
      <c r="AM56" s="157"/>
    </row>
    <row r="57" spans="11:39" x14ac:dyDescent="0.25">
      <c r="AI57" s="142"/>
      <c r="AM57" s="157"/>
    </row>
    <row r="58" spans="11:39" x14ac:dyDescent="0.25">
      <c r="K58" s="146"/>
      <c r="AI58" s="142"/>
      <c r="AM58" s="157"/>
    </row>
    <row r="59" spans="11:39" x14ac:dyDescent="0.25">
      <c r="K59" s="146"/>
      <c r="AI59" s="142"/>
      <c r="AM59" s="157"/>
    </row>
    <row r="60" spans="11:39" x14ac:dyDescent="0.25">
      <c r="K60" s="146"/>
      <c r="AI60" s="142"/>
      <c r="AM60" s="157"/>
    </row>
    <row r="61" spans="11:39" x14ac:dyDescent="0.25">
      <c r="AI61" s="142"/>
      <c r="AM61" s="157"/>
    </row>
    <row r="62" spans="11:39" x14ac:dyDescent="0.25">
      <c r="AI62" s="142"/>
      <c r="AM62" s="157"/>
    </row>
    <row r="63" spans="11:39" x14ac:dyDescent="0.25">
      <c r="AI63" s="142"/>
      <c r="AM63" s="157"/>
    </row>
    <row r="64" spans="11:39" x14ac:dyDescent="0.25">
      <c r="AI64" s="142"/>
      <c r="AM64" s="157"/>
    </row>
    <row r="65" spans="11:39" x14ac:dyDescent="0.25">
      <c r="K65" s="146"/>
      <c r="AI65" s="142"/>
      <c r="AM65" s="157"/>
    </row>
    <row r="66" spans="11:39" x14ac:dyDescent="0.25">
      <c r="K66" s="146"/>
      <c r="AI66" s="142"/>
      <c r="AM66" s="157"/>
    </row>
    <row r="67" spans="11:39" x14ac:dyDescent="0.25">
      <c r="AI67" s="142"/>
      <c r="AM67" s="157"/>
    </row>
    <row r="68" spans="11:39" x14ac:dyDescent="0.25">
      <c r="K68" s="146"/>
      <c r="AI68" s="142"/>
      <c r="AM68" s="157"/>
    </row>
    <row r="69" spans="11:39" x14ac:dyDescent="0.25">
      <c r="AI69" s="142"/>
      <c r="AM69" s="157"/>
    </row>
    <row r="70" spans="11:39" x14ac:dyDescent="0.25">
      <c r="AI70" s="142"/>
      <c r="AM70" s="157"/>
    </row>
    <row r="71" spans="11:39" x14ac:dyDescent="0.25">
      <c r="K71" s="146"/>
      <c r="AI71" s="142"/>
      <c r="AM71" s="157"/>
    </row>
    <row r="72" spans="11:39" x14ac:dyDescent="0.25">
      <c r="K72" s="146"/>
      <c r="AI72" s="142"/>
      <c r="AM72" s="157"/>
    </row>
    <row r="73" spans="11:39" x14ac:dyDescent="0.25">
      <c r="K73" s="146"/>
      <c r="AI73" s="142"/>
      <c r="AM73" s="157"/>
    </row>
    <row r="74" spans="11:39" x14ac:dyDescent="0.25">
      <c r="K74" s="146"/>
      <c r="AI74" s="142"/>
      <c r="AM74" s="157"/>
    </row>
    <row r="75" spans="11:39" x14ac:dyDescent="0.25">
      <c r="K75" s="146"/>
      <c r="AI75" s="142"/>
      <c r="AM75" s="157"/>
    </row>
    <row r="76" spans="11:39" x14ac:dyDescent="0.25">
      <c r="K76" s="146"/>
      <c r="AI76" s="142"/>
      <c r="AM76" s="157"/>
    </row>
    <row r="77" spans="11:39" x14ac:dyDescent="0.25">
      <c r="K77" s="146"/>
      <c r="AI77" s="142"/>
      <c r="AM77" s="157"/>
    </row>
    <row r="78" spans="11:39" x14ac:dyDescent="0.25">
      <c r="K78" s="146"/>
      <c r="AI78" s="142"/>
      <c r="AM78" s="157"/>
    </row>
    <row r="79" spans="11:39" x14ac:dyDescent="0.25">
      <c r="K79" s="146"/>
      <c r="AI79" s="142"/>
      <c r="AM79" s="157"/>
    </row>
    <row r="80" spans="11:39" x14ac:dyDescent="0.25">
      <c r="AI80" s="142"/>
      <c r="AM80" s="157"/>
    </row>
    <row r="81" spans="35:39" x14ac:dyDescent="0.25">
      <c r="AI81" s="142"/>
      <c r="AM81" s="157"/>
    </row>
    <row r="82" spans="35:39" x14ac:dyDescent="0.25">
      <c r="AI82" s="142"/>
      <c r="AM82" s="157"/>
    </row>
    <row r="83" spans="35:39" x14ac:dyDescent="0.25">
      <c r="AI83" s="142"/>
      <c r="AM83" s="157"/>
    </row>
    <row r="84" spans="35:39" x14ac:dyDescent="0.25">
      <c r="AI84" s="142"/>
      <c r="AM84" s="157"/>
    </row>
    <row r="85" spans="35:39" x14ac:dyDescent="0.25">
      <c r="AI85" s="142"/>
      <c r="AM85" s="157"/>
    </row>
    <row r="86" spans="35:39" x14ac:dyDescent="0.25">
      <c r="AI86" s="142"/>
      <c r="AM86" s="157"/>
    </row>
    <row r="87" spans="35:39" x14ac:dyDescent="0.25">
      <c r="AI87" s="142"/>
      <c r="AM87" s="157"/>
    </row>
    <row r="88" spans="35:39" x14ac:dyDescent="0.25">
      <c r="AI88" s="142"/>
      <c r="AM88" s="157"/>
    </row>
    <row r="89" spans="35:39" x14ac:dyDescent="0.25">
      <c r="AI89" s="142"/>
      <c r="AM89" s="157"/>
    </row>
    <row r="90" spans="35:39" x14ac:dyDescent="0.25">
      <c r="AI90" s="142"/>
      <c r="AM90" s="157"/>
    </row>
    <row r="91" spans="35:39" x14ac:dyDescent="0.25">
      <c r="AI91" s="142"/>
      <c r="AM91" s="157"/>
    </row>
    <row r="92" spans="35:39" x14ac:dyDescent="0.25">
      <c r="AI92" s="142"/>
      <c r="AM92" s="157"/>
    </row>
    <row r="93" spans="35:39" x14ac:dyDescent="0.25">
      <c r="AI93" s="142"/>
      <c r="AM93" s="157"/>
    </row>
    <row r="94" spans="35:39" x14ac:dyDescent="0.25">
      <c r="AI94" s="142"/>
      <c r="AM94" s="157"/>
    </row>
    <row r="95" spans="35:39" x14ac:dyDescent="0.25">
      <c r="AI95" s="142"/>
      <c r="AM95" s="157"/>
    </row>
    <row r="96" spans="35:39" x14ac:dyDescent="0.25">
      <c r="AI96" s="142"/>
      <c r="AM96" s="157"/>
    </row>
    <row r="97" spans="3:39" x14ac:dyDescent="0.25">
      <c r="AI97" s="142"/>
      <c r="AM97" s="157"/>
    </row>
    <row r="98" spans="3:39" x14ac:dyDescent="0.25">
      <c r="AI98" s="142"/>
      <c r="AM98" s="157"/>
    </row>
    <row r="99" spans="3:39" x14ac:dyDescent="0.25">
      <c r="AI99" s="142"/>
      <c r="AM99" s="157"/>
    </row>
    <row r="100" spans="3:39" x14ac:dyDescent="0.25">
      <c r="AI100" s="142"/>
      <c r="AM100" s="157"/>
    </row>
    <row r="101" spans="3:39" x14ac:dyDescent="0.25">
      <c r="AI101" s="142"/>
      <c r="AM101" s="157"/>
    </row>
    <row r="102" spans="3:39" x14ac:dyDescent="0.25">
      <c r="AI102" s="142"/>
      <c r="AM102" s="157"/>
    </row>
    <row r="103" spans="3:39" x14ac:dyDescent="0.25">
      <c r="AI103" s="142"/>
      <c r="AM103" s="157"/>
    </row>
    <row r="104" spans="3:39" x14ac:dyDescent="0.25">
      <c r="AI104" s="142"/>
      <c r="AM104" s="157"/>
    </row>
    <row r="105" spans="3:39" x14ac:dyDescent="0.25">
      <c r="C105" s="167"/>
      <c r="AI105" s="142"/>
      <c r="AM105" s="157"/>
    </row>
    <row r="106" spans="3:39" x14ac:dyDescent="0.25">
      <c r="AI106" s="142"/>
      <c r="AM106" s="157"/>
    </row>
    <row r="107" spans="3:39" x14ac:dyDescent="0.25">
      <c r="AI107" s="142"/>
      <c r="AM107" s="157"/>
    </row>
    <row r="108" spans="3:39" x14ac:dyDescent="0.25">
      <c r="AI108" s="142"/>
      <c r="AM108" s="157"/>
    </row>
    <row r="109" spans="3:39" x14ac:dyDescent="0.25">
      <c r="K109" s="146"/>
      <c r="AI109" s="142"/>
      <c r="AM109" s="157"/>
    </row>
    <row r="110" spans="3:39" x14ac:dyDescent="0.25">
      <c r="K110" s="146"/>
      <c r="AI110" s="142"/>
      <c r="AM110" s="157"/>
    </row>
    <row r="111" spans="3:39" x14ac:dyDescent="0.25">
      <c r="K111" s="146"/>
      <c r="AI111" s="142"/>
      <c r="AM111" s="157"/>
    </row>
    <row r="112" spans="3:39" x14ac:dyDescent="0.25">
      <c r="K112" s="146"/>
      <c r="AI112" s="142"/>
      <c r="AM112" s="157"/>
    </row>
    <row r="113" spans="11:39" x14ac:dyDescent="0.25">
      <c r="AI113" s="142"/>
      <c r="AM113" s="157"/>
    </row>
    <row r="114" spans="11:39" x14ac:dyDescent="0.25">
      <c r="K114" s="146"/>
      <c r="AI114" s="142"/>
      <c r="AM114" s="157"/>
    </row>
    <row r="115" spans="11:39" x14ac:dyDescent="0.25">
      <c r="AI115" s="142"/>
      <c r="AM115" s="157"/>
    </row>
    <row r="116" spans="11:39" x14ac:dyDescent="0.25">
      <c r="AI116" s="142"/>
      <c r="AM116" s="157"/>
    </row>
    <row r="117" spans="11:39" x14ac:dyDescent="0.25">
      <c r="AI117" s="142"/>
      <c r="AM117" s="157"/>
    </row>
    <row r="118" spans="11:39" x14ac:dyDescent="0.25">
      <c r="AI118" s="142"/>
      <c r="AM118" s="157"/>
    </row>
    <row r="119" spans="11:39" x14ac:dyDescent="0.25">
      <c r="AI119" s="142"/>
      <c r="AM119" s="157"/>
    </row>
    <row r="120" spans="11:39" x14ac:dyDescent="0.25">
      <c r="AI120" s="142"/>
      <c r="AM120" s="157"/>
    </row>
    <row r="121" spans="11:39" x14ac:dyDescent="0.25">
      <c r="AI121" s="142"/>
      <c r="AM121" s="157"/>
    </row>
    <row r="122" spans="11:39" x14ac:dyDescent="0.25">
      <c r="AI122" s="142"/>
      <c r="AM122" s="157"/>
    </row>
    <row r="123" spans="11:39" x14ac:dyDescent="0.25">
      <c r="AI123" s="142"/>
      <c r="AM123" s="157"/>
    </row>
    <row r="124" spans="11:39" x14ac:dyDescent="0.25">
      <c r="K124" s="146"/>
      <c r="AI124" s="142"/>
      <c r="AM124" s="157"/>
    </row>
    <row r="125" spans="11:39" x14ac:dyDescent="0.25">
      <c r="K125" s="146"/>
      <c r="AI125" s="142"/>
      <c r="AM125" s="157"/>
    </row>
    <row r="126" spans="11:39" x14ac:dyDescent="0.25">
      <c r="K126" s="146"/>
      <c r="AI126" s="142"/>
      <c r="AM126" s="157"/>
    </row>
    <row r="127" spans="11:39" x14ac:dyDescent="0.25">
      <c r="K127" s="146"/>
      <c r="AI127" s="142"/>
      <c r="AM127" s="157"/>
    </row>
    <row r="128" spans="11:39" x14ac:dyDescent="0.25">
      <c r="K128" s="146"/>
      <c r="AI128" s="142"/>
      <c r="AM128" s="157"/>
    </row>
    <row r="129" spans="11:39" x14ac:dyDescent="0.25">
      <c r="K129" s="146"/>
      <c r="AI129" s="142"/>
      <c r="AM129" s="157"/>
    </row>
    <row r="130" spans="11:39" x14ac:dyDescent="0.25">
      <c r="K130" s="146"/>
      <c r="AI130" s="142"/>
      <c r="AM130" s="157"/>
    </row>
    <row r="131" spans="11:39" x14ac:dyDescent="0.25">
      <c r="K131" s="146"/>
      <c r="AI131" s="142"/>
      <c r="AM131" s="157"/>
    </row>
    <row r="132" spans="11:39" x14ac:dyDescent="0.25">
      <c r="K132" s="146"/>
      <c r="AI132" s="142"/>
      <c r="AM132" s="157"/>
    </row>
    <row r="133" spans="11:39" x14ac:dyDescent="0.25">
      <c r="K133" s="146"/>
      <c r="AI133" s="142"/>
      <c r="AM133" s="157"/>
    </row>
    <row r="134" spans="11:39" x14ac:dyDescent="0.25">
      <c r="K134" s="146"/>
      <c r="AI134" s="142"/>
      <c r="AM134" s="157"/>
    </row>
    <row r="135" spans="11:39" x14ac:dyDescent="0.25">
      <c r="K135" s="146"/>
      <c r="AI135" s="142"/>
      <c r="AM135" s="157"/>
    </row>
    <row r="136" spans="11:39" x14ac:dyDescent="0.25">
      <c r="K136" s="146"/>
      <c r="AI136" s="142"/>
      <c r="AM136" s="157"/>
    </row>
    <row r="137" spans="11:39" x14ac:dyDescent="0.25">
      <c r="K137" s="146"/>
      <c r="AI137" s="142"/>
      <c r="AM137" s="157"/>
    </row>
    <row r="138" spans="11:39" x14ac:dyDescent="0.25">
      <c r="K138" s="146"/>
      <c r="AI138" s="142"/>
      <c r="AM138" s="157"/>
    </row>
    <row r="139" spans="11:39" x14ac:dyDescent="0.25">
      <c r="K139" s="146"/>
      <c r="AI139" s="142"/>
      <c r="AM139" s="157"/>
    </row>
    <row r="140" spans="11:39" x14ac:dyDescent="0.25">
      <c r="K140" s="146"/>
      <c r="AI140" s="142"/>
      <c r="AM140" s="157"/>
    </row>
    <row r="141" spans="11:39" x14ac:dyDescent="0.25">
      <c r="K141" s="146"/>
      <c r="AI141" s="142"/>
      <c r="AM141" s="157"/>
    </row>
    <row r="142" spans="11:39" x14ac:dyDescent="0.25">
      <c r="K142" s="146"/>
      <c r="AI142" s="142"/>
      <c r="AM142" s="157"/>
    </row>
    <row r="143" spans="11:39" x14ac:dyDescent="0.25">
      <c r="K143" s="146"/>
      <c r="AI143" s="142"/>
      <c r="AM143" s="157"/>
    </row>
    <row r="144" spans="11:39" x14ac:dyDescent="0.25">
      <c r="K144" s="146"/>
      <c r="AI144" s="142"/>
      <c r="AM144" s="157"/>
    </row>
    <row r="145" spans="11:39" x14ac:dyDescent="0.25">
      <c r="K145" s="146"/>
      <c r="AI145" s="142"/>
      <c r="AM145" s="157"/>
    </row>
    <row r="146" spans="11:39" x14ac:dyDescent="0.25">
      <c r="K146" s="146"/>
      <c r="AI146" s="142"/>
      <c r="AM146" s="157"/>
    </row>
    <row r="147" spans="11:39" x14ac:dyDescent="0.25">
      <c r="K147" s="146"/>
      <c r="AI147" s="142"/>
      <c r="AM147" s="157"/>
    </row>
    <row r="148" spans="11:39" x14ac:dyDescent="0.25">
      <c r="K148" s="146"/>
      <c r="AI148" s="142"/>
      <c r="AM148" s="157"/>
    </row>
    <row r="149" spans="11:39" x14ac:dyDescent="0.25">
      <c r="K149" s="146"/>
      <c r="AI149" s="142"/>
      <c r="AM149" s="157"/>
    </row>
    <row r="150" spans="11:39" x14ac:dyDescent="0.25">
      <c r="K150" s="146"/>
      <c r="AI150" s="142"/>
      <c r="AM150" s="157"/>
    </row>
    <row r="151" spans="11:39" x14ac:dyDescent="0.25">
      <c r="K151" s="146"/>
      <c r="AI151" s="142"/>
      <c r="AM151" s="157"/>
    </row>
    <row r="152" spans="11:39" x14ac:dyDescent="0.25">
      <c r="K152" s="146"/>
      <c r="AI152" s="142"/>
      <c r="AM152" s="157"/>
    </row>
    <row r="153" spans="11:39" x14ac:dyDescent="0.25">
      <c r="K153" s="146"/>
      <c r="AI153" s="142"/>
      <c r="AM153" s="157"/>
    </row>
    <row r="154" spans="11:39" x14ac:dyDescent="0.25">
      <c r="K154" s="146"/>
      <c r="AI154" s="142"/>
      <c r="AM154" s="157"/>
    </row>
    <row r="155" spans="11:39" x14ac:dyDescent="0.25">
      <c r="K155" s="146"/>
      <c r="AI155" s="142"/>
      <c r="AM155" s="157"/>
    </row>
    <row r="156" spans="11:39" x14ac:dyDescent="0.25">
      <c r="K156" s="146"/>
      <c r="AI156" s="142"/>
      <c r="AM156" s="157"/>
    </row>
    <row r="157" spans="11:39" x14ac:dyDescent="0.25">
      <c r="K157" s="146"/>
      <c r="AI157" s="142"/>
      <c r="AM157" s="157"/>
    </row>
    <row r="158" spans="11:39" x14ac:dyDescent="0.25">
      <c r="K158" s="146"/>
      <c r="AI158" s="142"/>
      <c r="AM158" s="157"/>
    </row>
    <row r="159" spans="11:39" x14ac:dyDescent="0.25">
      <c r="K159" s="146"/>
      <c r="AI159" s="142"/>
      <c r="AM159" s="157"/>
    </row>
    <row r="160" spans="11:39" x14ac:dyDescent="0.25">
      <c r="K160" s="146"/>
      <c r="AI160" s="142"/>
      <c r="AM160" s="157"/>
    </row>
    <row r="161" spans="11:39" x14ac:dyDescent="0.25">
      <c r="K161" s="146"/>
      <c r="AI161" s="142"/>
      <c r="AM161" s="157"/>
    </row>
    <row r="162" spans="11:39" x14ac:dyDescent="0.25">
      <c r="K162" s="146"/>
      <c r="AI162" s="142"/>
      <c r="AM162" s="157"/>
    </row>
    <row r="163" spans="11:39" x14ac:dyDescent="0.25">
      <c r="K163" s="146"/>
      <c r="AI163" s="142"/>
      <c r="AM163" s="157"/>
    </row>
    <row r="164" spans="11:39" x14ac:dyDescent="0.25">
      <c r="K164" s="146"/>
      <c r="AI164" s="142"/>
      <c r="AM164" s="157"/>
    </row>
    <row r="165" spans="11:39" x14ac:dyDescent="0.25">
      <c r="K165" s="146"/>
      <c r="AI165" s="142"/>
      <c r="AM165" s="157"/>
    </row>
    <row r="166" spans="11:39" x14ac:dyDescent="0.25">
      <c r="K166" s="146"/>
      <c r="AI166" s="142"/>
      <c r="AM166" s="157"/>
    </row>
    <row r="167" spans="11:39" x14ac:dyDescent="0.25">
      <c r="K167" s="146"/>
      <c r="AI167" s="142"/>
      <c r="AM167" s="157"/>
    </row>
    <row r="168" spans="11:39" x14ac:dyDescent="0.25">
      <c r="K168" s="146"/>
      <c r="AI168" s="142"/>
      <c r="AM168" s="157"/>
    </row>
    <row r="169" spans="11:39" x14ac:dyDescent="0.25">
      <c r="K169" s="146"/>
      <c r="AI169" s="142"/>
      <c r="AM169" s="157"/>
    </row>
    <row r="170" spans="11:39" x14ac:dyDescent="0.25">
      <c r="K170" s="146"/>
      <c r="AI170" s="142"/>
      <c r="AM170" s="157"/>
    </row>
    <row r="171" spans="11:39" x14ac:dyDescent="0.25">
      <c r="K171" s="146"/>
      <c r="AI171" s="142"/>
      <c r="AM171" s="157"/>
    </row>
    <row r="172" spans="11:39" x14ac:dyDescent="0.25">
      <c r="K172" s="146"/>
      <c r="AI172" s="142"/>
      <c r="AM172" s="157"/>
    </row>
    <row r="173" spans="11:39" x14ac:dyDescent="0.25">
      <c r="K173" s="146"/>
      <c r="AI173" s="142"/>
      <c r="AM173" s="157"/>
    </row>
    <row r="174" spans="11:39" x14ac:dyDescent="0.25">
      <c r="K174" s="146"/>
      <c r="AI174" s="142"/>
      <c r="AM174" s="157"/>
    </row>
    <row r="175" spans="11:39" x14ac:dyDescent="0.25">
      <c r="K175" s="146"/>
      <c r="AI175" s="142"/>
      <c r="AM175" s="157"/>
    </row>
    <row r="176" spans="11:39" x14ac:dyDescent="0.25">
      <c r="K176" s="146"/>
      <c r="AI176" s="142"/>
      <c r="AM176" s="157"/>
    </row>
    <row r="177" spans="11:39" x14ac:dyDescent="0.25">
      <c r="K177" s="146"/>
      <c r="AI177" s="142"/>
      <c r="AM177" s="157"/>
    </row>
    <row r="178" spans="11:39" x14ac:dyDescent="0.25">
      <c r="K178" s="146"/>
      <c r="AI178" s="142"/>
      <c r="AM178" s="157"/>
    </row>
    <row r="179" spans="11:39" x14ac:dyDescent="0.25">
      <c r="K179" s="146"/>
      <c r="AI179" s="142"/>
      <c r="AM179" s="157"/>
    </row>
    <row r="180" spans="11:39" x14ac:dyDescent="0.25">
      <c r="K180" s="146"/>
      <c r="AI180" s="142"/>
      <c r="AM180" s="157"/>
    </row>
    <row r="181" spans="11:39" x14ac:dyDescent="0.25">
      <c r="K181" s="146"/>
      <c r="AI181" s="142"/>
      <c r="AM181" s="157"/>
    </row>
    <row r="182" spans="11:39" x14ac:dyDescent="0.25">
      <c r="K182" s="146"/>
      <c r="AI182" s="142"/>
      <c r="AM182" s="157"/>
    </row>
    <row r="183" spans="11:39" x14ac:dyDescent="0.25">
      <c r="K183" s="146"/>
      <c r="AI183" s="142"/>
      <c r="AM183" s="157"/>
    </row>
    <row r="184" spans="11:39" x14ac:dyDescent="0.25">
      <c r="K184" s="146"/>
      <c r="AI184" s="142"/>
      <c r="AM184" s="157"/>
    </row>
    <row r="185" spans="11:39" x14ac:dyDescent="0.25">
      <c r="K185" s="146"/>
      <c r="AI185" s="142"/>
      <c r="AM185" s="157"/>
    </row>
    <row r="186" spans="11:39" x14ac:dyDescent="0.25">
      <c r="K186" s="146"/>
      <c r="AI186" s="142"/>
      <c r="AM186" s="157"/>
    </row>
    <row r="187" spans="11:39" x14ac:dyDescent="0.25">
      <c r="K187" s="146"/>
      <c r="AI187" s="142"/>
      <c r="AM187" s="157"/>
    </row>
    <row r="188" spans="11:39" x14ac:dyDescent="0.25">
      <c r="K188" s="146"/>
      <c r="AI188" s="142"/>
      <c r="AM188" s="157"/>
    </row>
    <row r="189" spans="11:39" x14ac:dyDescent="0.25">
      <c r="K189" s="146"/>
      <c r="AI189" s="142"/>
      <c r="AM189" s="157"/>
    </row>
    <row r="190" spans="11:39" x14ac:dyDescent="0.25">
      <c r="K190" s="146"/>
      <c r="AI190" s="142"/>
      <c r="AM190" s="157"/>
    </row>
    <row r="191" spans="11:39" x14ac:dyDescent="0.25">
      <c r="K191" s="146"/>
      <c r="AI191" s="142"/>
      <c r="AM191" s="157"/>
    </row>
    <row r="192" spans="11:39" x14ac:dyDescent="0.25">
      <c r="AI192" s="142"/>
      <c r="AM192" s="157"/>
    </row>
    <row r="193" spans="11:39" x14ac:dyDescent="0.25">
      <c r="K193" s="146"/>
      <c r="AI193" s="142"/>
      <c r="AM193" s="157"/>
    </row>
    <row r="194" spans="11:39" x14ac:dyDescent="0.25">
      <c r="K194" s="146"/>
      <c r="AI194" s="142"/>
      <c r="AM194" s="157"/>
    </row>
    <row r="195" spans="11:39" x14ac:dyDescent="0.25">
      <c r="K195" s="146"/>
      <c r="AI195" s="142"/>
      <c r="AM195" s="157"/>
    </row>
    <row r="196" spans="11:39" x14ac:dyDescent="0.25">
      <c r="K196" s="146"/>
      <c r="AI196" s="142"/>
      <c r="AM196" s="157"/>
    </row>
    <row r="197" spans="11:39" x14ac:dyDescent="0.25">
      <c r="K197" s="146"/>
      <c r="AI197" s="142"/>
      <c r="AM197" s="157"/>
    </row>
    <row r="198" spans="11:39" x14ac:dyDescent="0.25">
      <c r="K198" s="146"/>
      <c r="AI198" s="142"/>
      <c r="AM198" s="157"/>
    </row>
    <row r="199" spans="11:39" x14ac:dyDescent="0.25">
      <c r="K199" s="146"/>
      <c r="AI199" s="142"/>
      <c r="AM199" s="157"/>
    </row>
    <row r="200" spans="11:39" x14ac:dyDescent="0.25">
      <c r="K200" s="146"/>
      <c r="AI200" s="142"/>
      <c r="AM200" s="157"/>
    </row>
    <row r="201" spans="11:39" x14ac:dyDescent="0.25">
      <c r="K201" s="146"/>
      <c r="AI201" s="142"/>
      <c r="AM201" s="157"/>
    </row>
    <row r="202" spans="11:39" x14ac:dyDescent="0.25">
      <c r="K202" s="146"/>
      <c r="AI202" s="142"/>
      <c r="AM202" s="157"/>
    </row>
    <row r="203" spans="11:39" x14ac:dyDescent="0.25">
      <c r="K203" s="146"/>
      <c r="AI203" s="142"/>
      <c r="AM203" s="157"/>
    </row>
    <row r="204" spans="11:39" x14ac:dyDescent="0.25">
      <c r="K204" s="146"/>
      <c r="AI204" s="142"/>
      <c r="AM204" s="157"/>
    </row>
    <row r="205" spans="11:39" x14ac:dyDescent="0.25">
      <c r="K205" s="146"/>
      <c r="AI205" s="142"/>
      <c r="AM205" s="157"/>
    </row>
    <row r="206" spans="11:39" x14ac:dyDescent="0.25">
      <c r="K206" s="146"/>
      <c r="AI206" s="142"/>
      <c r="AM206" s="157"/>
    </row>
    <row r="207" spans="11:39" x14ac:dyDescent="0.25">
      <c r="K207" s="146"/>
      <c r="AI207" s="142"/>
      <c r="AM207" s="157"/>
    </row>
    <row r="208" spans="11:39" x14ac:dyDescent="0.25">
      <c r="K208" s="146"/>
      <c r="AI208" s="142"/>
      <c r="AM208" s="157"/>
    </row>
    <row r="209" spans="3:39" x14ac:dyDescent="0.25">
      <c r="K209" s="146"/>
      <c r="AI209" s="142"/>
      <c r="AM209" s="157"/>
    </row>
    <row r="210" spans="3:39" x14ac:dyDescent="0.25">
      <c r="K210" s="146"/>
      <c r="AI210" s="142"/>
      <c r="AM210" s="157"/>
    </row>
    <row r="211" spans="3:39" x14ac:dyDescent="0.25">
      <c r="C211" s="167"/>
      <c r="K211" s="146"/>
      <c r="AI211" s="142"/>
      <c r="AM211" s="157"/>
    </row>
    <row r="212" spans="3:39" x14ac:dyDescent="0.25">
      <c r="K212" s="146"/>
      <c r="AI212" s="142"/>
      <c r="AM212" s="157"/>
    </row>
    <row r="213" spans="3:39" x14ac:dyDescent="0.25">
      <c r="K213" s="146"/>
      <c r="AI213" s="142"/>
      <c r="AM213" s="157"/>
    </row>
    <row r="214" spans="3:39" x14ac:dyDescent="0.25">
      <c r="K214" s="146"/>
      <c r="AI214" s="142"/>
      <c r="AM214" s="157"/>
    </row>
    <row r="215" spans="3:39" x14ac:dyDescent="0.25">
      <c r="K215" s="146"/>
      <c r="AI215" s="142"/>
      <c r="AM215" s="157"/>
    </row>
    <row r="216" spans="3:39" x14ac:dyDescent="0.25">
      <c r="K216" s="146"/>
      <c r="AI216" s="142"/>
      <c r="AM216" s="157"/>
    </row>
    <row r="217" spans="3:39" x14ac:dyDescent="0.25">
      <c r="K217" s="146"/>
      <c r="AI217" s="142"/>
      <c r="AM217" s="157"/>
    </row>
    <row r="218" spans="3:39" x14ac:dyDescent="0.25">
      <c r="K218" s="146"/>
      <c r="AI218" s="142"/>
      <c r="AM218" s="157"/>
    </row>
    <row r="219" spans="3:39" x14ac:dyDescent="0.25">
      <c r="K219" s="146"/>
      <c r="AI219" s="142"/>
      <c r="AM219" s="157"/>
    </row>
    <row r="220" spans="3:39" x14ac:dyDescent="0.25">
      <c r="K220" s="146"/>
      <c r="AI220" s="142"/>
      <c r="AM220" s="157"/>
    </row>
    <row r="221" spans="3:39" x14ac:dyDescent="0.25">
      <c r="AI221" s="142"/>
      <c r="AM221" s="157"/>
    </row>
    <row r="222" spans="3:39" x14ac:dyDescent="0.25">
      <c r="AI222" s="142"/>
      <c r="AM222" s="157"/>
    </row>
    <row r="223" spans="3:39" x14ac:dyDescent="0.25">
      <c r="AI223" s="142"/>
      <c r="AM223" s="157"/>
    </row>
    <row r="224" spans="3:39" x14ac:dyDescent="0.25">
      <c r="AI224" s="142"/>
      <c r="AM224" s="157"/>
    </row>
    <row r="225" spans="35:39" x14ac:dyDescent="0.25">
      <c r="AI225" s="142"/>
      <c r="AM225" s="157"/>
    </row>
    <row r="226" spans="35:39" x14ac:dyDescent="0.25">
      <c r="AI226" s="142"/>
      <c r="AM226" s="157"/>
    </row>
    <row r="227" spans="35:39" x14ac:dyDescent="0.25">
      <c r="AI227" s="142"/>
      <c r="AM227" s="157"/>
    </row>
    <row r="228" spans="35:39" x14ac:dyDescent="0.25">
      <c r="AI228" s="142"/>
      <c r="AM228" s="157"/>
    </row>
    <row r="229" spans="35:39" x14ac:dyDescent="0.25">
      <c r="AI229" s="142"/>
      <c r="AM229" s="157"/>
    </row>
    <row r="230" spans="35:39" x14ac:dyDescent="0.25">
      <c r="AI230" s="142"/>
      <c r="AM230" s="157"/>
    </row>
    <row r="231" spans="35:39" x14ac:dyDescent="0.25">
      <c r="AI231" s="142"/>
      <c r="AM231" s="157"/>
    </row>
    <row r="232" spans="35:39" x14ac:dyDescent="0.25">
      <c r="AI232" s="142"/>
      <c r="AM232" s="157"/>
    </row>
    <row r="233" spans="35:39" x14ac:dyDescent="0.25">
      <c r="AI233" s="142"/>
      <c r="AM233" s="157"/>
    </row>
    <row r="234" spans="35:39" x14ac:dyDescent="0.25">
      <c r="AI234" s="142"/>
      <c r="AM234" s="157"/>
    </row>
    <row r="235" spans="35:39" x14ac:dyDescent="0.25">
      <c r="AI235" s="142"/>
      <c r="AM235" s="157"/>
    </row>
    <row r="236" spans="35:39" x14ac:dyDescent="0.25">
      <c r="AI236" s="142"/>
      <c r="AM236" s="157"/>
    </row>
    <row r="237" spans="35:39" x14ac:dyDescent="0.25">
      <c r="AI237" s="142"/>
      <c r="AM237" s="157"/>
    </row>
    <row r="238" spans="35:39" x14ac:dyDescent="0.25">
      <c r="AI238" s="142"/>
      <c r="AM238" s="157"/>
    </row>
    <row r="239" spans="35:39" x14ac:dyDescent="0.25">
      <c r="AI239" s="142"/>
      <c r="AM239" s="157"/>
    </row>
    <row r="240" spans="35:39" x14ac:dyDescent="0.25">
      <c r="AI240" s="142"/>
      <c r="AM240" s="157"/>
    </row>
    <row r="241" spans="35:39" x14ac:dyDescent="0.25">
      <c r="AI241" s="142"/>
      <c r="AM241" s="157"/>
    </row>
    <row r="242" spans="35:39" x14ac:dyDescent="0.25">
      <c r="AI242" s="142"/>
      <c r="AM242" s="157"/>
    </row>
    <row r="243" spans="35:39" x14ac:dyDescent="0.25">
      <c r="AI243" s="142"/>
      <c r="AM243" s="157"/>
    </row>
    <row r="244" spans="35:39" x14ac:dyDescent="0.25">
      <c r="AI244" s="142"/>
      <c r="AM244" s="157"/>
    </row>
    <row r="245" spans="35:39" x14ac:dyDescent="0.25">
      <c r="AI245" s="142"/>
      <c r="AM245" s="157"/>
    </row>
    <row r="246" spans="35:39" x14ac:dyDescent="0.25">
      <c r="AI246" s="142"/>
      <c r="AM246" s="157"/>
    </row>
    <row r="247" spans="35:39" x14ac:dyDescent="0.25">
      <c r="AI247" s="142"/>
      <c r="AM247" s="157"/>
    </row>
    <row r="248" spans="35:39" x14ac:dyDescent="0.25">
      <c r="AI248" s="142"/>
      <c r="AM248" s="157"/>
    </row>
    <row r="249" spans="35:39" x14ac:dyDescent="0.25">
      <c r="AI249" s="142"/>
      <c r="AM249" s="157"/>
    </row>
    <row r="512" spans="11:11" x14ac:dyDescent="0.25">
      <c r="K512" s="9"/>
    </row>
    <row r="668" spans="11:11" x14ac:dyDescent="0.25">
      <c r="K668" s="9"/>
    </row>
    <row r="858" spans="11:11" x14ac:dyDescent="0.25">
      <c r="K858" s="9"/>
    </row>
  </sheetData>
  <mergeCells count="3">
    <mergeCell ref="O2:P2"/>
    <mergeCell ref="V2:W2"/>
    <mergeCell ref="D6:I6"/>
  </mergeCells>
  <dataValidations count="16">
    <dataValidation type="decimal" operator="greaterThanOrEqual" allowBlank="1" showErrorMessage="1" error="This value must be a number greater than or equal to zero." sqref="L9:L1013 P9:Q1013 R8:R1013 U9:U1013" xr:uid="{00000000-0002-0000-0D00-000000000000}">
      <formula1>0</formula1>
      <formula2>0</formula2>
    </dataValidation>
    <dataValidation type="date" operator="greaterThanOrEqual" allowBlank="1" showErrorMessage="1" error="This value must be a date greater than or equal to the project start date." sqref="V9:V1013" xr:uid="{00000000-0002-0000-0D00-000001000000}">
      <formula1>ProjectStartDate</formula1>
      <formula2>0</formula2>
    </dataValidation>
    <dataValidation type="decimal" operator="greaterThan" allowBlank="1" showErrorMessage="1" error="This value must be a number greater than zero." sqref="N1:O6 N15:N27 N28:O1013" xr:uid="{00000000-0002-0000-0D00-000002000000}">
      <formula1>0</formula1>
      <formula2>0</formula2>
    </dataValidation>
    <dataValidation allowBlank="1" showInputMessage="1" showErrorMessage="1" promptTitle="Assembly" prompt="Right click to enter the assembly for this task. A task must be assigned to the SYSTEM assembly or a leaf assembly." sqref="A7" xr:uid="{00000000-0002-0000-0D00-000003000000}">
      <formula1>0</formula1>
      <formula2>0</formula2>
    </dataValidation>
    <dataValidation allowBlank="1" showInputMessage="1" showErrorMessage="1" promptTitle="Phase" prompt="Right click to enter the process phase that has this task." sqref="B7" xr:uid="{00000000-0002-0000-0D00-000004000000}">
      <formula1>0</formula1>
      <formula2>0</formula2>
    </dataValidation>
    <dataValidation allowBlank="1" showInputMessage="1" showErrorMessage="1" promptTitle="Task Name" prompt="Enter a name for this task, or use the default name. Task names must be unique." sqref="C7" xr:uid="{00000000-0002-0000-0D00-000005000000}">
      <formula1>0</formula1>
      <formula2>0</formula2>
    </dataValidation>
    <dataValidation allowBlank="1" showInputMessage="1" showErrorMessage="1" promptTitle="Plan Hours by Role" prompt="Enter the hours that planned for this task by team member role." sqref="D8" xr:uid="{00000000-0002-0000-0D00-000006000000}">
      <formula1>0</formula1>
      <formula2>0</formula2>
    </dataValidation>
    <dataValidation type="decimal" operator="greaterThanOrEqual" allowBlank="1" showInputMessage="1" showErrorMessage="1" error="This value must be a number greater than or equal to zero." promptTitle="Estimated Size" prompt="Enter the size estimate._x000a_Estimated Hours = Estimated Size / Rate" sqref="L7" xr:uid="{00000000-0002-0000-0D00-000007000000}">
      <formula1>0</formula1>
      <formula2>0</formula2>
    </dataValidation>
    <dataValidation type="decimal" operator="greaterThan" allowBlank="1" showInputMessage="1" showErrorMessage="1" error="This value must be a number greater than zero." promptTitle="Rate" prompt="Enter the rate in units per hour, e.g. enter 10 for 10 LOC per hour. _x000a_Estimated Hours = Estimated Size / Rate" sqref="N7" xr:uid="{00000000-0002-0000-0D00-000008000000}">
      <formula1>0</formula1>
      <formula2>0</formula2>
    </dataValidation>
    <dataValidation type="decimal" operator="greaterThanOrEqual" allowBlank="1" showInputMessage="1" showErrorMessage="1" error="This value must be a number greater than or equal to zero." promptTitle="Estimated Hours" prompt="Estimated hours may be entered or calculated._x000a_Estimated Hours = Estimated Size / Rate" sqref="P7" xr:uid="{00000000-0002-0000-0D00-000009000000}">
      <formula1>0</formula1>
      <formula2>0</formula2>
    </dataValidation>
    <dataValidation allowBlank="1" showInputMessage="1" showErrorMessage="1" promptTitle="Size Measure" prompt="Enter the size measure that is the basis for the estimate. The value entered is not used in any calculation, and is used only to capture the basis for the estimate. Any size measure may be entered. " sqref="M7" xr:uid="{00000000-0002-0000-0D00-00000A000000}">
      <formula1>0</formula1>
      <formula2>0</formula2>
    </dataValidation>
    <dataValidation type="decimal" operator="greaterThanOrEqual" allowBlank="1" showInputMessage="1" showErrorMessage="1" error="This value must be a number greater than or equal to zero." promptTitle="Actual Hours" prompt="Actual hours are rolled up automatically from the time log. Enter the actual hours for each task ONLY if the time log is not being used and the Use Time Log option on worksheet Project is NOT selected." sqref="U7" xr:uid="{00000000-0002-0000-0D00-00000B000000}">
      <formula1>0</formula1>
      <formula2>0</formula2>
    </dataValidation>
    <dataValidation type="date" operator="greaterThanOrEqual" allowBlank="1" showInputMessage="1" showErrorMessage="1" error="This value must be a date greater than or equal to the project start date." promptTitle="Actual Date" prompt="Enter the actual date that the task is completed." sqref="V7" xr:uid="{00000000-0002-0000-0D00-00000C000000}">
      <formula1>ProjectStartDate</formula1>
      <formula2>0</formula2>
    </dataValidation>
    <dataValidation type="decimal" operator="greaterThanOrEqual" allowBlank="1" showInputMessage="1" showErrorMessage="1" error="This value must be a number greater than or equal to zero." promptTitle="Engineers" prompt="Enter the number of engineers assigned to the task to calculate planned hours for the task._x000a_Plan Hours = Estimated Hours * Engrs" sqref="Q7" xr:uid="{00000000-0002-0000-0D00-00000D000000}">
      <formula1>0</formula1>
      <formula2>0</formula2>
    </dataValidation>
    <dataValidation allowBlank="1" showInputMessage="1" showErrorMessage="1" promptTitle="Resources" prompt="Right click to enter the team member(s) assigned to this task." sqref="K7" xr:uid="{00000000-0002-0000-0D00-00000E000000}">
      <formula1>0</formula1>
      <formula2>0</formula2>
    </dataValidation>
    <dataValidation type="decimal" operator="greaterThan" allowBlank="1" showInputMessage="1" showErrorMessage="1" error="This value must be a number greater than zero." promptTitle="Time in Phase %" prompt="Enter the percentage of time in phase for this task." sqref="O7" xr:uid="{00000000-0002-0000-0D00-00000F000000}">
      <formula1>0</formula1>
      <formula2>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W67"/>
  <sheetViews>
    <sheetView workbookViewId="0"/>
  </sheetViews>
  <sheetFormatPr baseColWidth="10" defaultColWidth="11.44140625" defaultRowHeight="13.2" x14ac:dyDescent="0.25"/>
  <cols>
    <col min="1" max="1" width="34.5546875" style="144" customWidth="1"/>
    <col min="2" max="2" width="7.6640625" style="119" customWidth="1"/>
    <col min="3" max="3" width="7.6640625" style="142" customWidth="1"/>
    <col min="4" max="4" width="7.6640625" style="143" customWidth="1"/>
    <col min="5" max="5" width="7.6640625" style="142" customWidth="1"/>
    <col min="6" max="18" width="7.6640625" style="143" customWidth="1"/>
    <col min="19" max="19" width="40.6640625" style="142" customWidth="1"/>
    <col min="20" max="20" width="1.6640625" style="157" customWidth="1"/>
    <col min="21" max="44" width="9.109375" style="2" hidden="1" customWidth="1"/>
    <col min="45" max="257" width="11.44140625" style="2" customWidth="1"/>
  </cols>
  <sheetData>
    <row r="1" spans="1:21" ht="15.6" customHeight="1" x14ac:dyDescent="0.3">
      <c r="A1" s="168" t="str">
        <f>TSPProcessName&amp;" Schedule Planning Template - Form SCHEDULE"</f>
        <v>TSPi Schedule Planning Template - Form SCHEDULE</v>
      </c>
      <c r="B1" s="2"/>
      <c r="C1" s="169"/>
      <c r="D1" s="157"/>
      <c r="E1" s="157"/>
      <c r="F1" s="157"/>
      <c r="G1" s="157"/>
      <c r="H1" s="157"/>
      <c r="I1" s="157"/>
      <c r="J1" s="157"/>
      <c r="K1" s="157"/>
      <c r="L1" s="157"/>
      <c r="M1" s="157"/>
      <c r="N1" s="157"/>
      <c r="O1" s="157"/>
      <c r="P1" s="157"/>
      <c r="Q1" s="157"/>
      <c r="R1" s="157"/>
      <c r="S1" s="157"/>
    </row>
    <row r="2" spans="1:21" ht="11.25" customHeight="1" x14ac:dyDescent="0.25">
      <c r="A2" s="151"/>
      <c r="B2" s="88" t="s">
        <v>312</v>
      </c>
      <c r="C2" s="170" t="str">
        <f>IF(Name=0,"",Name)</f>
        <v>Catálogo de Productos de Belleza Be Beautiful</v>
      </c>
      <c r="D2" s="171"/>
      <c r="E2" s="171"/>
      <c r="F2" s="150"/>
      <c r="G2" s="18"/>
      <c r="H2" s="157"/>
      <c r="I2" s="157"/>
      <c r="J2" s="150"/>
      <c r="K2" s="150"/>
      <c r="L2" s="150"/>
      <c r="M2" s="150"/>
      <c r="N2" s="150"/>
      <c r="O2" s="150"/>
      <c r="P2" s="150"/>
      <c r="Q2" s="150"/>
      <c r="R2" s="150"/>
      <c r="S2" s="150"/>
    </row>
    <row r="3" spans="1:21" ht="11.25" customHeight="1" x14ac:dyDescent="0.25">
      <c r="A3" s="172"/>
      <c r="B3" s="88" t="s">
        <v>14</v>
      </c>
      <c r="C3" s="170" t="str">
        <f>IF(TeamName=0,"",TeamName)</f>
        <v>Subgrupo 4</v>
      </c>
      <c r="D3" s="171"/>
      <c r="E3" s="171"/>
      <c r="F3" s="150"/>
      <c r="G3" s="18"/>
      <c r="H3" s="173" t="s">
        <v>608</v>
      </c>
      <c r="I3" s="156">
        <v>93.1</v>
      </c>
      <c r="J3" s="150"/>
      <c r="K3" s="150"/>
      <c r="L3" s="150"/>
      <c r="M3" s="150"/>
      <c r="N3" s="150"/>
      <c r="O3" s="150"/>
      <c r="P3" s="150"/>
      <c r="Q3" s="150"/>
      <c r="R3" s="150"/>
      <c r="S3" s="150"/>
    </row>
    <row r="4" spans="1:21" ht="11.25" customHeight="1" x14ac:dyDescent="0.25">
      <c r="A4" s="172"/>
      <c r="B4" s="88" t="s">
        <v>314</v>
      </c>
      <c r="C4" s="161">
        <f>currentDate</f>
        <v>46196</v>
      </c>
      <c r="D4" s="171"/>
      <c r="E4" s="171"/>
      <c r="F4" s="150"/>
      <c r="G4" s="18"/>
      <c r="H4" s="173" t="s">
        <v>609</v>
      </c>
      <c r="I4" s="174">
        <v>93.1</v>
      </c>
      <c r="J4" s="175" t="str">
        <f>IF(I3&gt;I4,"Warning: add schedule hours","")</f>
        <v/>
      </c>
      <c r="K4" s="150"/>
      <c r="L4" s="150"/>
      <c r="M4" s="150"/>
      <c r="N4" s="150"/>
      <c r="O4" s="150"/>
      <c r="P4" s="150"/>
      <c r="Q4" s="150"/>
      <c r="R4" s="150"/>
      <c r="S4" s="150"/>
    </row>
    <row r="5" spans="1:21" ht="11.25" customHeight="1" x14ac:dyDescent="0.25">
      <c r="A5" s="151"/>
      <c r="B5" s="88" t="str">
        <f>IF(Project!C5&lt;&gt;"",Project!C5,"")</f>
        <v>Instructor</v>
      </c>
      <c r="C5" s="170" t="str">
        <f>IF(InstructorName=0,"",InstructorName)</f>
        <v>Martinez, Natalia</v>
      </c>
      <c r="D5" s="171"/>
      <c r="E5" s="171"/>
      <c r="F5" s="150"/>
      <c r="G5" s="18"/>
      <c r="H5" s="150" t="s">
        <v>610</v>
      </c>
      <c r="I5" s="143">
        <v>0</v>
      </c>
      <c r="J5" s="150"/>
      <c r="K5" s="150"/>
      <c r="L5" s="150"/>
      <c r="M5" s="150"/>
      <c r="N5" s="150"/>
      <c r="O5" s="150"/>
      <c r="P5" s="150"/>
      <c r="Q5" s="150"/>
      <c r="R5" s="150"/>
      <c r="S5" s="150"/>
    </row>
    <row r="6" spans="1:21" ht="11.25" customHeight="1" x14ac:dyDescent="0.25">
      <c r="A6" s="176"/>
      <c r="B6" s="88" t="s">
        <v>326</v>
      </c>
      <c r="C6" s="154" t="s">
        <v>408</v>
      </c>
      <c r="D6" s="171"/>
      <c r="E6" s="171"/>
      <c r="F6" s="150"/>
      <c r="G6" s="150"/>
      <c r="H6" s="150"/>
      <c r="I6" s="150"/>
      <c r="J6" s="150"/>
      <c r="K6" s="150"/>
      <c r="L6" s="150"/>
      <c r="M6" s="150"/>
      <c r="N6" s="150"/>
      <c r="O6" s="150"/>
      <c r="P6" s="150"/>
      <c r="Q6" s="150"/>
      <c r="R6" s="150"/>
      <c r="S6" s="150"/>
    </row>
    <row r="7" spans="1:21" ht="51.6" customHeight="1" x14ac:dyDescent="0.25">
      <c r="A7" s="177" t="s">
        <v>314</v>
      </c>
      <c r="B7" s="65" t="s">
        <v>611</v>
      </c>
      <c r="C7" s="163" t="s">
        <v>612</v>
      </c>
      <c r="D7" s="163" t="s">
        <v>613</v>
      </c>
      <c r="E7" s="163" t="s">
        <v>553</v>
      </c>
      <c r="F7" s="163" t="s">
        <v>614</v>
      </c>
      <c r="G7" s="163" t="s">
        <v>615</v>
      </c>
      <c r="H7" s="163" t="s">
        <v>616</v>
      </c>
      <c r="I7" s="163" t="s">
        <v>556</v>
      </c>
      <c r="J7" s="163" t="s">
        <v>557</v>
      </c>
      <c r="K7" s="163" t="s">
        <v>617</v>
      </c>
      <c r="L7" s="163" t="s">
        <v>618</v>
      </c>
      <c r="M7" s="163" t="s">
        <v>619</v>
      </c>
      <c r="N7" s="163" t="s">
        <v>620</v>
      </c>
      <c r="O7" s="163" t="s">
        <v>489</v>
      </c>
      <c r="P7" s="163" t="s">
        <v>621</v>
      </c>
      <c r="Q7" s="163" t="s">
        <v>622</v>
      </c>
      <c r="R7" s="163" t="s">
        <v>623</v>
      </c>
      <c r="S7" s="178" t="s">
        <v>565</v>
      </c>
    </row>
    <row r="8" spans="1:21" x14ac:dyDescent="0.25">
      <c r="A8" s="258">
        <v>46161</v>
      </c>
      <c r="B8" s="119" t="s">
        <v>624</v>
      </c>
      <c r="C8" s="142">
        <v>14.5</v>
      </c>
      <c r="D8" s="143">
        <v>14.5</v>
      </c>
      <c r="E8" s="261">
        <v>15.2</v>
      </c>
      <c r="F8" s="261">
        <v>15.2</v>
      </c>
      <c r="G8" s="261">
        <v>14.5</v>
      </c>
      <c r="H8" s="261">
        <v>14.5</v>
      </c>
      <c r="I8" s="261">
        <v>14.5</v>
      </c>
      <c r="J8" s="261">
        <v>14.5</v>
      </c>
      <c r="K8" s="261">
        <v>14.5</v>
      </c>
      <c r="L8" s="261">
        <v>14.5</v>
      </c>
      <c r="M8" s="261">
        <v>14.5</v>
      </c>
      <c r="N8" s="261">
        <v>14.5</v>
      </c>
      <c r="O8" s="261">
        <v>14.5</v>
      </c>
      <c r="P8" s="261">
        <v>14.5</v>
      </c>
      <c r="Q8" s="261">
        <v>14.5</v>
      </c>
      <c r="R8" s="261">
        <v>14.5</v>
      </c>
      <c r="S8" t="s">
        <v>625</v>
      </c>
      <c r="U8" s="157"/>
    </row>
    <row r="9" spans="1:21" x14ac:dyDescent="0.25">
      <c r="A9" s="258">
        <v>46168</v>
      </c>
      <c r="B9" s="119" t="s">
        <v>626</v>
      </c>
      <c r="C9" s="142">
        <v>22.7</v>
      </c>
      <c r="D9" s="143">
        <v>37.200000000000003</v>
      </c>
      <c r="E9" s="261">
        <v>23.7</v>
      </c>
      <c r="F9" s="261">
        <v>38.9</v>
      </c>
      <c r="G9" s="261">
        <v>22.7</v>
      </c>
      <c r="H9" s="261">
        <v>37.200000000000003</v>
      </c>
      <c r="I9" s="261">
        <v>22.7</v>
      </c>
      <c r="J9" s="261">
        <v>37.200000000000003</v>
      </c>
      <c r="K9" s="261">
        <v>22.7</v>
      </c>
      <c r="L9" s="261">
        <v>37.200000000000003</v>
      </c>
      <c r="M9" s="261">
        <v>22.7</v>
      </c>
      <c r="N9" s="261">
        <v>37.200000000000003</v>
      </c>
      <c r="O9" s="261">
        <v>22.7</v>
      </c>
      <c r="P9" s="261">
        <v>37.200000000000003</v>
      </c>
      <c r="Q9" s="261">
        <v>22.7</v>
      </c>
      <c r="R9" s="261">
        <v>37.200000000000003</v>
      </c>
      <c r="S9" t="s">
        <v>627</v>
      </c>
      <c r="U9" s="157"/>
    </row>
    <row r="10" spans="1:21" x14ac:dyDescent="0.25">
      <c r="A10" s="258">
        <v>46175</v>
      </c>
      <c r="B10" s="119" t="s">
        <v>571</v>
      </c>
      <c r="C10" s="142">
        <v>26.9</v>
      </c>
      <c r="D10" s="143">
        <v>64.099999999999994</v>
      </c>
      <c r="E10" s="261">
        <v>28.4</v>
      </c>
      <c r="F10" s="261">
        <v>67.3</v>
      </c>
      <c r="G10" s="261">
        <v>25.6</v>
      </c>
      <c r="H10" s="261">
        <v>62.8</v>
      </c>
      <c r="I10" s="261">
        <v>25.6</v>
      </c>
      <c r="J10" s="261">
        <v>62.8</v>
      </c>
      <c r="K10" s="261">
        <v>26.9</v>
      </c>
      <c r="L10" s="261">
        <v>64.099999999999994</v>
      </c>
      <c r="M10" s="261">
        <v>25.6</v>
      </c>
      <c r="N10" s="261">
        <v>62.8</v>
      </c>
      <c r="O10" s="261">
        <v>26.9</v>
      </c>
      <c r="P10" s="261">
        <v>64.099999999999994</v>
      </c>
      <c r="Q10" s="261">
        <v>25.6</v>
      </c>
      <c r="R10" s="261">
        <v>62.8</v>
      </c>
      <c r="S10" t="s">
        <v>628</v>
      </c>
      <c r="U10" s="157"/>
    </row>
    <row r="11" spans="1:21" x14ac:dyDescent="0.25">
      <c r="A11" s="258">
        <v>46196</v>
      </c>
      <c r="B11" s="119" t="s">
        <v>629</v>
      </c>
      <c r="C11" s="142">
        <v>29</v>
      </c>
      <c r="D11" s="143">
        <v>93.1</v>
      </c>
      <c r="E11" s="261">
        <v>30.2</v>
      </c>
      <c r="F11" s="261">
        <v>97.5</v>
      </c>
      <c r="G11" s="261">
        <v>27.8</v>
      </c>
      <c r="H11" s="261">
        <v>90.6</v>
      </c>
      <c r="I11" s="261">
        <v>27.8</v>
      </c>
      <c r="J11" s="261">
        <v>90.6</v>
      </c>
      <c r="K11" s="261">
        <v>29</v>
      </c>
      <c r="L11" s="261">
        <v>93.1</v>
      </c>
      <c r="M11" s="261">
        <v>27.8</v>
      </c>
      <c r="N11" s="261">
        <v>90.6</v>
      </c>
      <c r="O11" s="261">
        <v>29</v>
      </c>
      <c r="P11" s="261">
        <v>93.1</v>
      </c>
      <c r="Q11" s="261">
        <v>27.8</v>
      </c>
      <c r="R11" s="261">
        <v>90.6</v>
      </c>
      <c r="S11" t="s">
        <v>630</v>
      </c>
      <c r="U11" s="157"/>
    </row>
    <row r="12" spans="1:21" x14ac:dyDescent="0.25">
      <c r="U12" s="157"/>
    </row>
    <row r="13" spans="1:21" x14ac:dyDescent="0.25">
      <c r="U13" s="157"/>
    </row>
    <row r="14" spans="1:21" x14ac:dyDescent="0.25">
      <c r="U14" s="157"/>
    </row>
    <row r="15" spans="1:21" x14ac:dyDescent="0.25">
      <c r="U15" s="157"/>
    </row>
    <row r="16" spans="1:21" x14ac:dyDescent="0.25">
      <c r="U16" s="157"/>
    </row>
    <row r="17" spans="21:21" x14ac:dyDescent="0.25">
      <c r="U17" s="157"/>
    </row>
    <row r="18" spans="21:21" x14ac:dyDescent="0.25">
      <c r="U18" s="157"/>
    </row>
    <row r="19" spans="21:21" x14ac:dyDescent="0.25">
      <c r="U19" s="157"/>
    </row>
    <row r="20" spans="21:21" x14ac:dyDescent="0.25">
      <c r="U20" s="157"/>
    </row>
    <row r="21" spans="21:21" x14ac:dyDescent="0.25">
      <c r="U21" s="157"/>
    </row>
    <row r="22" spans="21:21" x14ac:dyDescent="0.25">
      <c r="U22" s="157"/>
    </row>
    <row r="23" spans="21:21" x14ac:dyDescent="0.25">
      <c r="U23" s="157"/>
    </row>
    <row r="24" spans="21:21" x14ac:dyDescent="0.25">
      <c r="U24" s="157"/>
    </row>
    <row r="25" spans="21:21" x14ac:dyDescent="0.25">
      <c r="U25" s="157"/>
    </row>
    <row r="26" spans="21:21" x14ac:dyDescent="0.25">
      <c r="U26" s="157"/>
    </row>
    <row r="27" spans="21:21" x14ac:dyDescent="0.25">
      <c r="U27" s="157"/>
    </row>
    <row r="28" spans="21:21" x14ac:dyDescent="0.25">
      <c r="U28" s="157"/>
    </row>
    <row r="29" spans="21:21" x14ac:dyDescent="0.25">
      <c r="U29" s="157"/>
    </row>
    <row r="30" spans="21:21" x14ac:dyDescent="0.25">
      <c r="U30" s="157"/>
    </row>
    <row r="31" spans="21:21" x14ac:dyDescent="0.25">
      <c r="U31" s="157"/>
    </row>
    <row r="32" spans="21:21" x14ac:dyDescent="0.25">
      <c r="U32" s="157"/>
    </row>
    <row r="33" spans="21:21" x14ac:dyDescent="0.25">
      <c r="U33" s="157"/>
    </row>
    <row r="34" spans="21:21" x14ac:dyDescent="0.25">
      <c r="U34" s="157"/>
    </row>
    <row r="35" spans="21:21" x14ac:dyDescent="0.25">
      <c r="U35" s="157"/>
    </row>
    <row r="36" spans="21:21" x14ac:dyDescent="0.25">
      <c r="U36" s="157"/>
    </row>
    <row r="37" spans="21:21" x14ac:dyDescent="0.25">
      <c r="U37" s="157"/>
    </row>
    <row r="38" spans="21:21" x14ac:dyDescent="0.25">
      <c r="U38" s="157"/>
    </row>
    <row r="39" spans="21:21" x14ac:dyDescent="0.25">
      <c r="U39" s="157"/>
    </row>
    <row r="40" spans="21:21" x14ac:dyDescent="0.25">
      <c r="U40" s="157"/>
    </row>
    <row r="41" spans="21:21" x14ac:dyDescent="0.25">
      <c r="U41" s="157"/>
    </row>
    <row r="42" spans="21:21" x14ac:dyDescent="0.25">
      <c r="U42" s="157"/>
    </row>
    <row r="43" spans="21:21" x14ac:dyDescent="0.25">
      <c r="U43" s="157"/>
    </row>
    <row r="44" spans="21:21" x14ac:dyDescent="0.25">
      <c r="U44" s="157"/>
    </row>
    <row r="45" spans="21:21" x14ac:dyDescent="0.25">
      <c r="U45" s="157"/>
    </row>
    <row r="46" spans="21:21" x14ac:dyDescent="0.25">
      <c r="U46" s="157"/>
    </row>
    <row r="47" spans="21:21" x14ac:dyDescent="0.25">
      <c r="U47" s="157"/>
    </row>
    <row r="48" spans="21:21" x14ac:dyDescent="0.25">
      <c r="U48" s="157"/>
    </row>
    <row r="49" spans="21:21" x14ac:dyDescent="0.25">
      <c r="U49" s="157"/>
    </row>
    <row r="50" spans="21:21" x14ac:dyDescent="0.25">
      <c r="U50" s="157"/>
    </row>
    <row r="51" spans="21:21" x14ac:dyDescent="0.25">
      <c r="U51" s="157"/>
    </row>
    <row r="52" spans="21:21" x14ac:dyDescent="0.25">
      <c r="U52" s="157"/>
    </row>
    <row r="53" spans="21:21" x14ac:dyDescent="0.25">
      <c r="U53" s="157"/>
    </row>
    <row r="54" spans="21:21" x14ac:dyDescent="0.25">
      <c r="U54" s="157"/>
    </row>
    <row r="55" spans="21:21" x14ac:dyDescent="0.25">
      <c r="U55" s="157"/>
    </row>
    <row r="56" spans="21:21" x14ac:dyDescent="0.25">
      <c r="U56" s="157"/>
    </row>
    <row r="57" spans="21:21" x14ac:dyDescent="0.25">
      <c r="U57" s="157"/>
    </row>
    <row r="58" spans="21:21" x14ac:dyDescent="0.25">
      <c r="U58" s="157"/>
    </row>
    <row r="59" spans="21:21" x14ac:dyDescent="0.25">
      <c r="U59" s="157"/>
    </row>
    <row r="60" spans="21:21" x14ac:dyDescent="0.25">
      <c r="U60" s="157"/>
    </row>
    <row r="61" spans="21:21" x14ac:dyDescent="0.25">
      <c r="U61" s="157"/>
    </row>
    <row r="62" spans="21:21" x14ac:dyDescent="0.25">
      <c r="U62" s="157"/>
    </row>
    <row r="63" spans="21:21" x14ac:dyDescent="0.25">
      <c r="U63" s="157"/>
    </row>
    <row r="64" spans="21:21" x14ac:dyDescent="0.25">
      <c r="U64" s="157"/>
    </row>
    <row r="65" spans="21:21" x14ac:dyDescent="0.25">
      <c r="U65" s="157"/>
    </row>
    <row r="66" spans="21:21" x14ac:dyDescent="0.25">
      <c r="U66" s="157"/>
    </row>
    <row r="67" spans="21:21" x14ac:dyDescent="0.25">
      <c r="U67" s="157"/>
    </row>
  </sheetData>
  <dataValidations count="4">
    <dataValidation type="decimal" operator="greaterThanOrEqual" allowBlank="1" showErrorMessage="1" error="Plan hours must be greater than or equal to zero." sqref="C1:C6 C9:C1007 D2:E6" xr:uid="{00000000-0002-0000-0E00-000000000000}">
      <formula1>0</formula1>
      <formula2>0</formula2>
    </dataValidation>
    <dataValidation type="decimal" operator="greaterThanOrEqual" allowBlank="1" showErrorMessage="1" error="Actual hours must be greater than or equal to zero." sqref="E1 E9:E1007" xr:uid="{00000000-0002-0000-0E00-000001000000}">
      <formula1>0</formula1>
      <formula2>0</formula2>
    </dataValidation>
    <dataValidation type="decimal" operator="greaterThanOrEqual" allowBlank="1" showInputMessage="1" showErrorMessage="1" error="Plan hours must be greater than or equal to zero." promptTitle="Planned Hours" prompt="Enter the planned hours for the week number and date shown." sqref="C7" xr:uid="{00000000-0002-0000-0E00-000002000000}">
      <formula1>0</formula1>
      <formula2>0</formula2>
    </dataValidation>
    <dataValidation type="decimal" operator="greaterThanOrEqual" allowBlank="1" showInputMessage="1" showErrorMessage="1" error="Actual hours must be greater than or equal to zero." promptTitle="Actual Hours" prompt="Actual hours are rolled up automatically from the time log. Enter the actual hours per week ONLY if the time log is not being used and the Use Time Log option on worksheet Project is NOT selected." sqref="E7" xr:uid="{00000000-0002-0000-0E00-000003000000}">
      <formula1>0</formula1>
      <formula2>0</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W11"/>
  <sheetViews>
    <sheetView workbookViewId="0"/>
  </sheetViews>
  <sheetFormatPr baseColWidth="10" defaultColWidth="11.44140625" defaultRowHeight="13.2" x14ac:dyDescent="0.25"/>
  <cols>
    <col min="1" max="1" width="3.6640625" style="33" customWidth="1"/>
    <col min="2" max="2" width="50.6640625" customWidth="1"/>
    <col min="3" max="5" width="10.6640625" customWidth="1"/>
    <col min="6" max="6" width="21.33203125" customWidth="1"/>
    <col min="7" max="7" width="10.6640625" customWidth="1"/>
    <col min="8" max="257" width="11.44140625" style="33" customWidth="1"/>
  </cols>
  <sheetData>
    <row r="1" spans="2:7" ht="26.25" customHeight="1" x14ac:dyDescent="0.25">
      <c r="B1" s="33" t="s">
        <v>631</v>
      </c>
      <c r="C1" s="179" t="s">
        <v>632</v>
      </c>
      <c r="D1" s="179" t="s">
        <v>633</v>
      </c>
      <c r="E1" s="179" t="s">
        <v>634</v>
      </c>
      <c r="F1" s="179" t="s">
        <v>635</v>
      </c>
      <c r="G1" s="179" t="s">
        <v>314</v>
      </c>
    </row>
    <row r="2" spans="2:7" x14ac:dyDescent="0.25">
      <c r="B2" t="s">
        <v>636</v>
      </c>
      <c r="C2">
        <v>5</v>
      </c>
      <c r="D2">
        <v>3</v>
      </c>
      <c r="E2">
        <v>15</v>
      </c>
      <c r="F2" t="s">
        <v>71</v>
      </c>
      <c r="G2" s="259">
        <v>46178</v>
      </c>
    </row>
    <row r="3" spans="2:7" x14ac:dyDescent="0.25">
      <c r="B3" t="s">
        <v>637</v>
      </c>
      <c r="C3">
        <v>3</v>
      </c>
      <c r="D3">
        <v>3</v>
      </c>
      <c r="E3">
        <v>9</v>
      </c>
      <c r="F3" t="s">
        <v>71</v>
      </c>
      <c r="G3" s="259">
        <v>46178</v>
      </c>
    </row>
    <row r="4" spans="2:7" x14ac:dyDescent="0.25">
      <c r="B4" t="s">
        <v>638</v>
      </c>
      <c r="C4">
        <v>5</v>
      </c>
      <c r="D4">
        <v>3</v>
      </c>
      <c r="E4">
        <v>15</v>
      </c>
      <c r="F4" t="s">
        <v>417</v>
      </c>
      <c r="G4" s="259">
        <v>46178</v>
      </c>
    </row>
    <row r="5" spans="2:7" x14ac:dyDescent="0.25">
      <c r="B5" t="s">
        <v>639</v>
      </c>
      <c r="C5">
        <v>4</v>
      </c>
      <c r="D5">
        <v>4</v>
      </c>
      <c r="E5">
        <v>16</v>
      </c>
      <c r="F5" t="s">
        <v>420</v>
      </c>
      <c r="G5" s="259">
        <v>46178</v>
      </c>
    </row>
    <row r="6" spans="2:7" x14ac:dyDescent="0.25">
      <c r="B6" t="s">
        <v>640</v>
      </c>
      <c r="C6">
        <v>4</v>
      </c>
      <c r="D6">
        <v>3</v>
      </c>
      <c r="E6">
        <v>12</v>
      </c>
      <c r="F6" t="s">
        <v>79</v>
      </c>
      <c r="G6" s="259">
        <v>46178</v>
      </c>
    </row>
    <row r="7" spans="2:7" x14ac:dyDescent="0.25">
      <c r="B7" t="s">
        <v>641</v>
      </c>
      <c r="C7">
        <v>5</v>
      </c>
      <c r="D7">
        <v>2</v>
      </c>
      <c r="E7">
        <v>10</v>
      </c>
      <c r="F7" t="s">
        <v>420</v>
      </c>
      <c r="G7" s="259">
        <v>46178</v>
      </c>
    </row>
    <row r="8" spans="2:7" x14ac:dyDescent="0.25">
      <c r="B8" t="s">
        <v>642</v>
      </c>
      <c r="C8">
        <v>5</v>
      </c>
      <c r="D8">
        <v>2</v>
      </c>
      <c r="E8">
        <v>10</v>
      </c>
      <c r="F8" t="s">
        <v>418</v>
      </c>
      <c r="G8" s="259">
        <v>46178</v>
      </c>
    </row>
    <row r="9" spans="2:7" x14ac:dyDescent="0.25">
      <c r="B9" t="s">
        <v>643</v>
      </c>
      <c r="C9">
        <v>3</v>
      </c>
      <c r="D9">
        <v>3</v>
      </c>
      <c r="E9">
        <v>9</v>
      </c>
      <c r="F9" t="s">
        <v>417</v>
      </c>
      <c r="G9" s="259">
        <v>46178</v>
      </c>
    </row>
    <row r="10" spans="2:7" x14ac:dyDescent="0.25">
      <c r="B10" t="s">
        <v>644</v>
      </c>
      <c r="C10">
        <v>4</v>
      </c>
      <c r="D10">
        <v>2</v>
      </c>
      <c r="E10">
        <v>8</v>
      </c>
      <c r="F10" t="s">
        <v>418</v>
      </c>
      <c r="G10" s="259">
        <v>46178</v>
      </c>
    </row>
    <row r="11" spans="2:7" x14ac:dyDescent="0.25">
      <c r="B11" t="s">
        <v>645</v>
      </c>
      <c r="C11">
        <v>4</v>
      </c>
      <c r="D11">
        <v>2</v>
      </c>
      <c r="E11">
        <v>8</v>
      </c>
      <c r="F11" t="s">
        <v>71</v>
      </c>
      <c r="G11" s="259">
        <v>46178</v>
      </c>
    </row>
  </sheetData>
  <dataValidations count="1">
    <dataValidation type="list" allowBlank="1" showErrorMessage="1" sqref="C1:D1001" xr:uid="{00000000-0002-0000-0F00-000000000000}">
      <formula1>"H,M,L"</formula1>
      <formula2>0</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W243"/>
  <sheetViews>
    <sheetView topLeftCell="A10" workbookViewId="0"/>
  </sheetViews>
  <sheetFormatPr baseColWidth="10" defaultColWidth="11.44140625" defaultRowHeight="13.2" x14ac:dyDescent="0.25"/>
  <cols>
    <col min="1" max="1" width="10.33203125" style="180" customWidth="1"/>
    <col min="2" max="2" width="8.6640625" style="180" customWidth="1"/>
    <col min="3" max="3" width="25.6640625" style="180" customWidth="1"/>
    <col min="4" max="4" width="10.5546875" style="181" customWidth="1"/>
    <col min="5" max="5" width="8.109375" style="182" customWidth="1"/>
    <col min="6" max="6" width="8.109375" style="183" customWidth="1"/>
    <col min="7" max="7" width="8.109375" style="182" customWidth="1"/>
    <col min="8" max="8" width="8.109375" style="184" customWidth="1"/>
    <col min="9" max="9" width="45.6640625" style="180" customWidth="1"/>
    <col min="10" max="10" width="8.44140625" style="185" customWidth="1"/>
    <col min="11" max="11" width="7.109375" style="185" customWidth="1"/>
    <col min="12" max="257" width="11.44140625" style="185" customWidth="1"/>
  </cols>
  <sheetData>
    <row r="1" spans="1:9" ht="15.6" customHeight="1" x14ac:dyDescent="0.3">
      <c r="A1" s="87" t="str">
        <f>TSPProcessName&amp;" Time Recording Log - Form LOGT"</f>
        <v>TSPi Time Recording Log - Form LOGT</v>
      </c>
      <c r="B1" s="87"/>
      <c r="C1" s="87"/>
      <c r="D1" s="186"/>
      <c r="E1" s="87"/>
      <c r="F1" s="187"/>
      <c r="G1" s="87"/>
      <c r="H1" s="87"/>
      <c r="I1" s="87"/>
    </row>
    <row r="2" spans="1:9" x14ac:dyDescent="0.25">
      <c r="A2" s="88" t="s">
        <v>312</v>
      </c>
      <c r="B2" s="289" t="str">
        <f>IF(Name=0,"",Name)</f>
        <v>Catálogo de Productos de Belleza Be Beautiful</v>
      </c>
      <c r="C2" s="290"/>
      <c r="D2" s="188"/>
      <c r="E2" s="88" t="s">
        <v>314</v>
      </c>
      <c r="F2" s="301">
        <v>46196</v>
      </c>
      <c r="G2" s="290"/>
    </row>
    <row r="3" spans="1:9" x14ac:dyDescent="0.25">
      <c r="A3" s="88" t="s">
        <v>14</v>
      </c>
      <c r="B3" s="294" t="str">
        <f>IF(TeamName=0,"",TeamName)</f>
        <v>Subgrupo 4</v>
      </c>
      <c r="C3" s="295"/>
      <c r="D3" s="188"/>
      <c r="E3" s="88" t="str">
        <f>IF(Project!C5&lt;&gt;"",Project!C5,"")</f>
        <v>Instructor</v>
      </c>
      <c r="F3" s="300" t="str">
        <f>IF(InstructorName=0,"",InstructorName)</f>
        <v>Martinez, Natalia</v>
      </c>
      <c r="G3" s="295"/>
    </row>
    <row r="4" spans="1:9" x14ac:dyDescent="0.25">
      <c r="A4" s="88"/>
      <c r="B4" s="39"/>
      <c r="C4" s="39"/>
      <c r="D4" s="189"/>
      <c r="E4" s="88" t="s">
        <v>326</v>
      </c>
      <c r="F4" s="300" t="s">
        <v>408</v>
      </c>
      <c r="G4" s="295"/>
    </row>
    <row r="5" spans="1:9" x14ac:dyDescent="0.25">
      <c r="A5" s="38"/>
      <c r="B5" s="38"/>
      <c r="C5" s="38"/>
      <c r="D5" s="190"/>
      <c r="E5" s="88" t="s">
        <v>646</v>
      </c>
      <c r="F5" s="300">
        <v>97.5</v>
      </c>
      <c r="G5" s="295"/>
      <c r="H5" s="33"/>
      <c r="I5" s="33"/>
    </row>
    <row r="6" spans="1:9" ht="24" customHeight="1" x14ac:dyDescent="0.25">
      <c r="A6" s="191" t="s">
        <v>325</v>
      </c>
      <c r="B6" s="191" t="s">
        <v>308</v>
      </c>
      <c r="C6" s="191" t="s">
        <v>30</v>
      </c>
      <c r="D6" s="192" t="s">
        <v>314</v>
      </c>
      <c r="E6" s="193" t="s">
        <v>647</v>
      </c>
      <c r="F6" s="194" t="s">
        <v>648</v>
      </c>
      <c r="G6" s="193" t="s">
        <v>649</v>
      </c>
      <c r="H6" s="194" t="s">
        <v>650</v>
      </c>
      <c r="I6" s="191" t="s">
        <v>208</v>
      </c>
    </row>
    <row r="7" spans="1:9" x14ac:dyDescent="0.25">
      <c r="A7" s="13" t="s">
        <v>493</v>
      </c>
      <c r="B7" s="13" t="s">
        <v>601</v>
      </c>
      <c r="C7" s="13" t="s">
        <v>651</v>
      </c>
      <c r="D7" s="263">
        <v>46161</v>
      </c>
      <c r="E7" s="195"/>
      <c r="F7" s="142">
        <v>0</v>
      </c>
      <c r="G7" s="195"/>
      <c r="H7" s="143">
        <v>2</v>
      </c>
      <c r="I7" s="13" t="s">
        <v>625</v>
      </c>
    </row>
    <row r="8" spans="1:9" x14ac:dyDescent="0.25">
      <c r="A8" s="13" t="s">
        <v>493</v>
      </c>
      <c r="B8" s="13" t="s">
        <v>601</v>
      </c>
      <c r="C8" s="13" t="s">
        <v>652</v>
      </c>
      <c r="D8" s="263">
        <v>46161</v>
      </c>
      <c r="E8" s="195"/>
      <c r="F8" s="142">
        <v>0</v>
      </c>
      <c r="G8" s="195"/>
      <c r="H8" s="143">
        <v>3.5</v>
      </c>
      <c r="I8" s="183" t="s">
        <v>653</v>
      </c>
    </row>
    <row r="9" spans="1:9" x14ac:dyDescent="0.25">
      <c r="A9" s="196" t="s">
        <v>493</v>
      </c>
      <c r="B9" s="196" t="s">
        <v>601</v>
      </c>
      <c r="C9" s="196" t="s">
        <v>654</v>
      </c>
      <c r="D9" s="263">
        <v>46161</v>
      </c>
      <c r="E9" s="198"/>
      <c r="F9" s="199">
        <v>0</v>
      </c>
      <c r="H9" s="143">
        <v>4</v>
      </c>
      <c r="I9" s="183" t="s">
        <v>655</v>
      </c>
    </row>
    <row r="10" spans="1:9" x14ac:dyDescent="0.25">
      <c r="A10" s="196" t="s">
        <v>493</v>
      </c>
      <c r="B10" s="196" t="s">
        <v>601</v>
      </c>
      <c r="C10" s="196" t="s">
        <v>656</v>
      </c>
      <c r="D10" s="263">
        <v>46161</v>
      </c>
      <c r="E10" s="198"/>
      <c r="F10" s="199">
        <v>0</v>
      </c>
      <c r="H10" s="143">
        <v>2</v>
      </c>
      <c r="I10" s="183" t="s">
        <v>657</v>
      </c>
    </row>
    <row r="11" spans="1:9" x14ac:dyDescent="0.25">
      <c r="A11" s="196" t="s">
        <v>493</v>
      </c>
      <c r="B11" s="196" t="s">
        <v>573</v>
      </c>
      <c r="C11" s="196" t="s">
        <v>658</v>
      </c>
      <c r="D11" s="263">
        <v>46161</v>
      </c>
      <c r="E11" s="198"/>
      <c r="F11" s="199">
        <v>0</v>
      </c>
      <c r="H11" s="143">
        <v>2.2000000000000002</v>
      </c>
      <c r="I11" s="183" t="s">
        <v>659</v>
      </c>
    </row>
    <row r="12" spans="1:9" x14ac:dyDescent="0.25">
      <c r="A12" s="196" t="s">
        <v>493</v>
      </c>
      <c r="B12" s="196" t="s">
        <v>573</v>
      </c>
      <c r="C12" s="196" t="s">
        <v>660</v>
      </c>
      <c r="D12" s="263">
        <v>46161</v>
      </c>
      <c r="E12" s="198"/>
      <c r="F12" s="199">
        <v>0</v>
      </c>
      <c r="H12" s="143">
        <v>1.5</v>
      </c>
      <c r="I12" s="183" t="s">
        <v>661</v>
      </c>
    </row>
    <row r="13" spans="1:9" x14ac:dyDescent="0.25">
      <c r="A13" s="196" t="s">
        <v>493</v>
      </c>
      <c r="B13" s="196" t="s">
        <v>569</v>
      </c>
      <c r="C13" s="196" t="s">
        <v>662</v>
      </c>
      <c r="D13" s="263">
        <v>46168</v>
      </c>
      <c r="E13" s="198"/>
      <c r="F13" s="199">
        <v>0</v>
      </c>
      <c r="H13" s="143">
        <v>2.5</v>
      </c>
      <c r="I13" s="183" t="s">
        <v>663</v>
      </c>
    </row>
    <row r="14" spans="1:9" x14ac:dyDescent="0.25">
      <c r="A14" s="196" t="s">
        <v>493</v>
      </c>
      <c r="B14" s="196" t="s">
        <v>576</v>
      </c>
      <c r="C14" s="196" t="s">
        <v>664</v>
      </c>
      <c r="D14" s="263">
        <v>46168</v>
      </c>
      <c r="E14" s="198"/>
      <c r="F14" s="199">
        <v>0</v>
      </c>
      <c r="H14" s="143">
        <v>9</v>
      </c>
      <c r="I14" s="183" t="s">
        <v>665</v>
      </c>
    </row>
    <row r="15" spans="1:9" x14ac:dyDescent="0.25">
      <c r="A15" s="196" t="s">
        <v>493</v>
      </c>
      <c r="B15" s="196" t="s">
        <v>601</v>
      </c>
      <c r="C15" s="196" t="s">
        <v>666</v>
      </c>
      <c r="D15" s="263">
        <v>46168</v>
      </c>
      <c r="E15" s="198"/>
      <c r="F15" s="199">
        <v>0</v>
      </c>
      <c r="H15" s="143">
        <v>5.5</v>
      </c>
      <c r="I15" s="183" t="s">
        <v>667</v>
      </c>
    </row>
    <row r="16" spans="1:9" x14ac:dyDescent="0.25">
      <c r="A16" s="196" t="s">
        <v>493</v>
      </c>
      <c r="B16" s="196" t="s">
        <v>596</v>
      </c>
      <c r="C16" s="196" t="s">
        <v>668</v>
      </c>
      <c r="D16" s="263">
        <v>46168</v>
      </c>
      <c r="E16" s="198"/>
      <c r="F16" s="199">
        <v>0</v>
      </c>
      <c r="H16" s="143">
        <v>4.5</v>
      </c>
      <c r="I16" s="183" t="s">
        <v>669</v>
      </c>
    </row>
    <row r="17" spans="1:9" x14ac:dyDescent="0.25">
      <c r="A17" s="196" t="s">
        <v>493</v>
      </c>
      <c r="B17" s="196" t="s">
        <v>573</v>
      </c>
      <c r="C17" s="196" t="s">
        <v>670</v>
      </c>
      <c r="D17" s="263">
        <v>46168</v>
      </c>
      <c r="E17" s="198"/>
      <c r="F17" s="199">
        <v>0</v>
      </c>
      <c r="H17" s="143">
        <v>1</v>
      </c>
      <c r="I17" s="183" t="s">
        <v>671</v>
      </c>
    </row>
    <row r="18" spans="1:9" x14ac:dyDescent="0.25">
      <c r="A18" s="196" t="s">
        <v>493</v>
      </c>
      <c r="B18" s="196" t="s">
        <v>573</v>
      </c>
      <c r="C18" s="196" t="s">
        <v>672</v>
      </c>
      <c r="D18" s="263">
        <v>46168</v>
      </c>
      <c r="E18" s="198"/>
      <c r="F18" s="199">
        <v>0</v>
      </c>
      <c r="H18" s="143">
        <v>1.2</v>
      </c>
      <c r="I18" s="183" t="s">
        <v>673</v>
      </c>
    </row>
    <row r="19" spans="1:9" x14ac:dyDescent="0.25">
      <c r="A19" s="196" t="s">
        <v>493</v>
      </c>
      <c r="B19" s="196" t="s">
        <v>569</v>
      </c>
      <c r="C19" s="196" t="s">
        <v>674</v>
      </c>
      <c r="D19" s="263">
        <v>46175</v>
      </c>
      <c r="E19" s="198"/>
      <c r="F19" s="199">
        <v>0</v>
      </c>
      <c r="H19" s="143">
        <v>3</v>
      </c>
      <c r="I19" s="183" t="s">
        <v>675</v>
      </c>
    </row>
    <row r="20" spans="1:9" x14ac:dyDescent="0.25">
      <c r="A20" s="200" t="s">
        <v>493</v>
      </c>
      <c r="B20" s="13" t="s">
        <v>576</v>
      </c>
      <c r="C20" s="196" t="s">
        <v>676</v>
      </c>
      <c r="D20" s="263">
        <v>46175</v>
      </c>
      <c r="E20" s="198"/>
      <c r="F20" s="199">
        <v>0</v>
      </c>
      <c r="H20" s="143">
        <v>10.5</v>
      </c>
      <c r="I20" t="s">
        <v>677</v>
      </c>
    </row>
    <row r="21" spans="1:9" x14ac:dyDescent="0.25">
      <c r="A21" s="200" t="s">
        <v>493</v>
      </c>
      <c r="B21" s="13" t="s">
        <v>601</v>
      </c>
      <c r="C21" s="196" t="s">
        <v>678</v>
      </c>
      <c r="D21" s="263">
        <v>46175</v>
      </c>
      <c r="E21" s="198"/>
      <c r="F21" s="199">
        <v>0</v>
      </c>
      <c r="H21" s="143">
        <v>7</v>
      </c>
      <c r="I21" s="183" t="s">
        <v>679</v>
      </c>
    </row>
    <row r="22" spans="1:9" x14ac:dyDescent="0.25">
      <c r="A22" s="200" t="s">
        <v>493</v>
      </c>
      <c r="B22" s="13" t="s">
        <v>596</v>
      </c>
      <c r="C22" s="196" t="s">
        <v>680</v>
      </c>
      <c r="D22" s="263">
        <v>46175</v>
      </c>
      <c r="E22" s="198"/>
      <c r="F22" s="199">
        <v>0</v>
      </c>
      <c r="H22" s="143">
        <v>5</v>
      </c>
      <c r="I22" s="183" t="s">
        <v>681</v>
      </c>
    </row>
    <row r="23" spans="1:9" x14ac:dyDescent="0.25">
      <c r="A23" s="200" t="s">
        <v>493</v>
      </c>
      <c r="B23" s="13" t="s">
        <v>573</v>
      </c>
      <c r="C23" s="196" t="s">
        <v>682</v>
      </c>
      <c r="D23" s="263">
        <v>46175</v>
      </c>
      <c r="E23" s="198"/>
      <c r="F23" s="199">
        <v>0</v>
      </c>
      <c r="H23" s="143">
        <v>0.8</v>
      </c>
      <c r="I23" t="s">
        <v>683</v>
      </c>
    </row>
    <row r="24" spans="1:9" x14ac:dyDescent="0.25">
      <c r="A24" s="200" t="s">
        <v>493</v>
      </c>
      <c r="B24" s="13" t="s">
        <v>573</v>
      </c>
      <c r="C24" s="196" t="s">
        <v>684</v>
      </c>
      <c r="D24" s="263">
        <v>46175</v>
      </c>
      <c r="E24" s="198"/>
      <c r="F24" s="199">
        <v>0</v>
      </c>
      <c r="H24" s="143">
        <v>2.1</v>
      </c>
      <c r="I24" s="183" t="s">
        <v>685</v>
      </c>
    </row>
    <row r="25" spans="1:9" x14ac:dyDescent="0.25">
      <c r="A25" s="200" t="s">
        <v>493</v>
      </c>
      <c r="B25" s="13" t="s">
        <v>569</v>
      </c>
      <c r="C25" s="196" t="s">
        <v>686</v>
      </c>
      <c r="D25" s="263">
        <v>46196</v>
      </c>
      <c r="E25" s="198"/>
      <c r="F25" s="199">
        <v>0</v>
      </c>
      <c r="H25" s="143">
        <v>2.7</v>
      </c>
      <c r="I25" s="183" t="s">
        <v>687</v>
      </c>
    </row>
    <row r="26" spans="1:9" x14ac:dyDescent="0.25">
      <c r="A26" s="200" t="s">
        <v>493</v>
      </c>
      <c r="B26" s="13" t="s">
        <v>337</v>
      </c>
      <c r="C26" s="196" t="s">
        <v>688</v>
      </c>
      <c r="D26" s="263">
        <v>46196</v>
      </c>
      <c r="E26" s="198"/>
      <c r="F26" s="199">
        <v>0</v>
      </c>
      <c r="H26" s="143">
        <v>11.7</v>
      </c>
      <c r="I26" t="s">
        <v>689</v>
      </c>
    </row>
    <row r="27" spans="1:9" x14ac:dyDescent="0.25">
      <c r="A27" s="200" t="s">
        <v>493</v>
      </c>
      <c r="B27" s="13" t="s">
        <v>601</v>
      </c>
      <c r="C27" s="196" t="s">
        <v>690</v>
      </c>
      <c r="D27" s="263">
        <v>46196</v>
      </c>
      <c r="E27" s="198"/>
      <c r="F27" s="199">
        <v>0</v>
      </c>
      <c r="H27" s="143">
        <v>7.5</v>
      </c>
      <c r="I27" s="183" t="s">
        <v>691</v>
      </c>
    </row>
    <row r="28" spans="1:9" x14ac:dyDescent="0.25">
      <c r="A28" s="196" t="s">
        <v>493</v>
      </c>
      <c r="B28" s="196" t="s">
        <v>596</v>
      </c>
      <c r="C28" s="196" t="s">
        <v>692</v>
      </c>
      <c r="D28" s="263">
        <v>46196</v>
      </c>
      <c r="E28" s="198"/>
      <c r="F28" s="199">
        <v>0</v>
      </c>
      <c r="H28" s="143">
        <v>6.3</v>
      </c>
      <c r="I28" s="183" t="s">
        <v>693</v>
      </c>
    </row>
    <row r="29" spans="1:9" x14ac:dyDescent="0.25">
      <c r="A29" s="196" t="s">
        <v>493</v>
      </c>
      <c r="B29" s="13" t="s">
        <v>573</v>
      </c>
      <c r="C29" s="196" t="s">
        <v>694</v>
      </c>
      <c r="D29" s="263">
        <v>46196</v>
      </c>
      <c r="E29" s="198"/>
      <c r="F29" s="199">
        <v>0</v>
      </c>
      <c r="H29" s="143">
        <v>0.8</v>
      </c>
      <c r="I29" t="s">
        <v>695</v>
      </c>
    </row>
    <row r="30" spans="1:9" x14ac:dyDescent="0.25">
      <c r="A30" s="196" t="s">
        <v>493</v>
      </c>
      <c r="B30" s="13" t="s">
        <v>573</v>
      </c>
      <c r="C30" s="196" t="s">
        <v>696</v>
      </c>
      <c r="D30" s="263">
        <v>46196</v>
      </c>
      <c r="E30" s="198"/>
      <c r="F30" s="199">
        <v>0</v>
      </c>
      <c r="H30" s="143">
        <v>1.2</v>
      </c>
      <c r="I30" t="s">
        <v>697</v>
      </c>
    </row>
    <row r="31" spans="1:9" x14ac:dyDescent="0.25">
      <c r="A31" s="196"/>
      <c r="B31" s="13"/>
      <c r="C31" s="196"/>
      <c r="D31" s="197"/>
      <c r="E31" s="198"/>
      <c r="F31" s="199"/>
      <c r="I31" s="183"/>
    </row>
    <row r="32" spans="1:9" x14ac:dyDescent="0.25">
      <c r="A32" s="196"/>
      <c r="B32" s="13"/>
      <c r="C32" s="196"/>
      <c r="D32" s="201"/>
      <c r="E32" s="198"/>
      <c r="F32" s="199"/>
      <c r="I32" s="183"/>
    </row>
    <row r="33" spans="1:9" x14ac:dyDescent="0.25">
      <c r="A33" s="196"/>
      <c r="B33" s="13"/>
      <c r="C33" s="196"/>
      <c r="D33" s="197"/>
      <c r="E33" s="198"/>
      <c r="F33" s="199"/>
    </row>
    <row r="34" spans="1:9" x14ac:dyDescent="0.25">
      <c r="A34" s="196"/>
      <c r="B34" s="13"/>
      <c r="C34" s="196"/>
      <c r="D34" s="197"/>
      <c r="E34" s="198"/>
      <c r="F34" s="199"/>
    </row>
    <row r="35" spans="1:9" x14ac:dyDescent="0.25">
      <c r="A35" s="196"/>
      <c r="B35" s="13"/>
      <c r="C35" s="196"/>
      <c r="D35" s="197"/>
      <c r="E35" s="198"/>
      <c r="F35" s="199"/>
    </row>
    <row r="36" spans="1:9" x14ac:dyDescent="0.25">
      <c r="A36" s="196"/>
      <c r="B36" s="13"/>
      <c r="C36" s="196"/>
      <c r="D36" s="197"/>
      <c r="E36" s="198"/>
      <c r="F36" s="199"/>
      <c r="I36" s="202"/>
    </row>
    <row r="37" spans="1:9" x14ac:dyDescent="0.25">
      <c r="A37" s="196"/>
      <c r="B37" s="13"/>
      <c r="C37" s="196"/>
      <c r="D37" s="197"/>
      <c r="E37" s="198"/>
      <c r="F37" s="199"/>
      <c r="I37" s="183"/>
    </row>
    <row r="38" spans="1:9" x14ac:dyDescent="0.25">
      <c r="A38" s="196"/>
      <c r="B38" s="196"/>
      <c r="C38" s="196"/>
      <c r="D38" s="197"/>
      <c r="E38" s="198"/>
      <c r="F38" s="199"/>
      <c r="I38" s="203"/>
    </row>
    <row r="39" spans="1:9" x14ac:dyDescent="0.25">
      <c r="A39" s="196"/>
      <c r="B39" s="13"/>
      <c r="C39" s="196"/>
      <c r="D39" s="197"/>
      <c r="E39" s="198"/>
      <c r="F39" s="199"/>
    </row>
    <row r="40" spans="1:9" x14ac:dyDescent="0.25">
      <c r="A40" s="196"/>
      <c r="B40" s="13"/>
      <c r="C40" s="196"/>
      <c r="D40" s="197"/>
      <c r="E40" s="198"/>
      <c r="F40" s="199"/>
      <c r="I40" s="183"/>
    </row>
    <row r="41" spans="1:9" x14ac:dyDescent="0.25">
      <c r="A41" s="196"/>
      <c r="B41" s="13"/>
      <c r="C41" s="196"/>
      <c r="D41" s="197"/>
      <c r="E41" s="198"/>
      <c r="F41" s="199"/>
      <c r="I41" s="183"/>
    </row>
    <row r="42" spans="1:9" x14ac:dyDescent="0.25">
      <c r="A42" s="196"/>
      <c r="B42" s="13"/>
      <c r="C42" s="196"/>
      <c r="D42" s="197"/>
      <c r="E42" s="198"/>
      <c r="F42" s="199"/>
      <c r="I42" s="202"/>
    </row>
    <row r="43" spans="1:9" x14ac:dyDescent="0.25">
      <c r="A43" s="196"/>
      <c r="B43" s="13"/>
      <c r="C43" s="196"/>
      <c r="D43" s="197"/>
      <c r="E43" s="198"/>
      <c r="F43" s="199"/>
      <c r="I43" s="183"/>
    </row>
    <row r="44" spans="1:9" x14ac:dyDescent="0.25">
      <c r="A44" s="196"/>
      <c r="B44" s="13"/>
      <c r="C44" s="196"/>
      <c r="D44" s="197"/>
      <c r="E44" s="198"/>
      <c r="F44" s="199"/>
      <c r="I44" s="183"/>
    </row>
    <row r="45" spans="1:9" x14ac:dyDescent="0.25">
      <c r="A45" s="196"/>
      <c r="B45" s="13"/>
      <c r="C45" s="196"/>
      <c r="D45" s="197"/>
      <c r="E45" s="198"/>
      <c r="F45" s="199"/>
      <c r="I45" s="183"/>
    </row>
    <row r="46" spans="1:9" x14ac:dyDescent="0.25">
      <c r="A46" s="196"/>
      <c r="B46" s="13"/>
      <c r="C46" s="196"/>
      <c r="D46" s="197"/>
      <c r="E46" s="198"/>
      <c r="F46" s="199"/>
    </row>
    <row r="47" spans="1:9" x14ac:dyDescent="0.25">
      <c r="A47" s="196"/>
      <c r="B47" s="196"/>
      <c r="C47" s="196"/>
      <c r="D47" s="197"/>
      <c r="E47" s="198"/>
      <c r="F47" s="199"/>
    </row>
    <row r="48" spans="1:9" x14ac:dyDescent="0.25">
      <c r="A48" s="196"/>
      <c r="B48" s="13"/>
      <c r="C48" s="196"/>
      <c r="D48" s="197"/>
      <c r="E48" s="198"/>
      <c r="F48" s="199"/>
      <c r="I48" s="183"/>
    </row>
    <row r="49" spans="1:9" x14ac:dyDescent="0.25">
      <c r="A49" s="196"/>
      <c r="B49" s="13"/>
      <c r="C49" s="196"/>
      <c r="D49" s="197"/>
      <c r="E49" s="198"/>
      <c r="F49" s="199"/>
      <c r="I49" s="183"/>
    </row>
    <row r="50" spans="1:9" x14ac:dyDescent="0.25">
      <c r="A50" s="196"/>
      <c r="B50" s="13"/>
      <c r="C50" s="196"/>
      <c r="D50" s="197"/>
      <c r="E50" s="198"/>
      <c r="F50" s="199"/>
    </row>
    <row r="51" spans="1:9" x14ac:dyDescent="0.25">
      <c r="A51" s="196"/>
      <c r="B51" s="13"/>
      <c r="C51" s="196"/>
      <c r="D51" s="197"/>
      <c r="E51" s="198"/>
      <c r="F51" s="199"/>
    </row>
    <row r="52" spans="1:9" x14ac:dyDescent="0.25">
      <c r="A52" s="196"/>
      <c r="B52" s="13"/>
      <c r="C52" s="196"/>
      <c r="D52" s="197"/>
      <c r="E52" s="198"/>
      <c r="F52" s="199"/>
    </row>
    <row r="53" spans="1:9" x14ac:dyDescent="0.25">
      <c r="A53" s="196"/>
      <c r="B53" s="13"/>
      <c r="C53" s="196"/>
      <c r="D53" s="197"/>
      <c r="E53" s="198"/>
      <c r="F53" s="199"/>
    </row>
    <row r="54" spans="1:9" x14ac:dyDescent="0.25">
      <c r="A54" s="196"/>
      <c r="B54" s="13"/>
      <c r="C54" s="196"/>
      <c r="D54" s="197"/>
      <c r="E54" s="198"/>
      <c r="F54" s="199"/>
      <c r="I54" s="183"/>
    </row>
    <row r="55" spans="1:9" x14ac:dyDescent="0.25">
      <c r="A55" s="196"/>
      <c r="B55" s="13"/>
      <c r="C55" s="196"/>
      <c r="D55" s="197"/>
      <c r="E55" s="198"/>
      <c r="F55" s="199"/>
      <c r="I55" s="183"/>
    </row>
    <row r="56" spans="1:9" x14ac:dyDescent="0.25">
      <c r="A56" s="196"/>
      <c r="B56" s="196"/>
      <c r="C56" s="196"/>
      <c r="D56" s="197"/>
      <c r="E56" s="198"/>
      <c r="F56" s="199"/>
      <c r="I56" s="202"/>
    </row>
    <row r="57" spans="1:9" x14ac:dyDescent="0.25">
      <c r="A57" s="196"/>
      <c r="B57" s="13"/>
      <c r="C57" s="196"/>
      <c r="D57" s="197"/>
      <c r="E57" s="198"/>
      <c r="F57" s="199"/>
      <c r="I57" s="183"/>
    </row>
    <row r="58" spans="1:9" x14ac:dyDescent="0.25">
      <c r="A58" s="196"/>
      <c r="B58" s="13"/>
      <c r="C58" s="196"/>
      <c r="D58" s="197"/>
      <c r="E58" s="198"/>
      <c r="F58" s="199"/>
    </row>
    <row r="59" spans="1:9" x14ac:dyDescent="0.25">
      <c r="A59" s="196"/>
      <c r="B59" s="13"/>
      <c r="C59" s="196"/>
      <c r="D59" s="197"/>
      <c r="E59" s="198"/>
      <c r="F59" s="199"/>
    </row>
    <row r="60" spans="1:9" x14ac:dyDescent="0.25">
      <c r="A60" s="196"/>
      <c r="B60" s="13"/>
      <c r="C60" s="196"/>
      <c r="D60" s="197"/>
      <c r="E60" s="198"/>
      <c r="F60" s="199"/>
    </row>
    <row r="61" spans="1:9" x14ac:dyDescent="0.25">
      <c r="A61" s="196"/>
      <c r="B61" s="13"/>
      <c r="C61" s="196"/>
      <c r="D61" s="197"/>
      <c r="E61" s="198"/>
      <c r="F61" s="199"/>
      <c r="I61" s="203"/>
    </row>
    <row r="62" spans="1:9" x14ac:dyDescent="0.25">
      <c r="A62" s="196"/>
      <c r="B62" s="13"/>
      <c r="C62" s="196"/>
      <c r="D62" s="197"/>
      <c r="E62" s="198"/>
      <c r="F62" s="199"/>
    </row>
    <row r="63" spans="1:9" x14ac:dyDescent="0.25">
      <c r="A63" s="196"/>
      <c r="B63" s="13"/>
      <c r="C63" s="196"/>
      <c r="D63" s="197"/>
      <c r="E63" s="198"/>
      <c r="F63" s="199"/>
    </row>
    <row r="64" spans="1:9" x14ac:dyDescent="0.25">
      <c r="A64" s="196"/>
      <c r="B64" s="13"/>
      <c r="C64" s="196"/>
      <c r="D64" s="197"/>
      <c r="E64" s="198"/>
      <c r="F64" s="199"/>
      <c r="I64" s="203"/>
    </row>
    <row r="65" spans="1:9" x14ac:dyDescent="0.25">
      <c r="A65" s="200"/>
      <c r="B65" s="13"/>
      <c r="C65" s="196"/>
      <c r="D65" s="197"/>
      <c r="E65" s="198"/>
      <c r="F65" s="199"/>
      <c r="I65" s="202"/>
    </row>
    <row r="66" spans="1:9" x14ac:dyDescent="0.25">
      <c r="A66" s="200"/>
      <c r="B66" s="13"/>
      <c r="C66" s="196"/>
      <c r="D66" s="197"/>
      <c r="E66" s="198"/>
      <c r="F66" s="199"/>
      <c r="I66" s="183"/>
    </row>
    <row r="67" spans="1:9" x14ac:dyDescent="0.25">
      <c r="A67" s="200"/>
      <c r="B67" s="13"/>
      <c r="C67" s="196"/>
      <c r="D67" s="197"/>
      <c r="E67" s="198"/>
      <c r="F67" s="199"/>
    </row>
    <row r="68" spans="1:9" x14ac:dyDescent="0.25">
      <c r="A68" s="200"/>
      <c r="B68" s="13"/>
      <c r="C68" s="196"/>
      <c r="D68" s="197"/>
      <c r="E68" s="198"/>
      <c r="F68" s="199"/>
      <c r="I68" s="203"/>
    </row>
    <row r="69" spans="1:9" x14ac:dyDescent="0.25">
      <c r="A69" s="200"/>
      <c r="B69" s="13"/>
      <c r="C69" s="196"/>
      <c r="D69" s="197"/>
      <c r="E69" s="198"/>
      <c r="F69" s="199"/>
    </row>
    <row r="70" spans="1:9" x14ac:dyDescent="0.25">
      <c r="A70" s="200"/>
      <c r="B70" s="13"/>
      <c r="C70" s="196"/>
      <c r="D70" s="197"/>
      <c r="E70" s="198"/>
      <c r="F70" s="199"/>
      <c r="I70" s="183"/>
    </row>
    <row r="71" spans="1:9" x14ac:dyDescent="0.25">
      <c r="A71" s="200"/>
      <c r="B71" s="13"/>
      <c r="C71" s="196"/>
      <c r="D71" s="197"/>
      <c r="E71" s="198"/>
      <c r="F71" s="199"/>
    </row>
    <row r="72" spans="1:9" x14ac:dyDescent="0.25">
      <c r="A72" s="200"/>
      <c r="B72" s="13"/>
      <c r="C72" s="196"/>
      <c r="D72" s="197"/>
      <c r="E72" s="198"/>
      <c r="F72" s="199"/>
    </row>
    <row r="73" spans="1:9" x14ac:dyDescent="0.25">
      <c r="A73" s="200"/>
      <c r="B73" s="13"/>
      <c r="C73" s="196"/>
      <c r="D73" s="197"/>
      <c r="E73" s="198"/>
      <c r="F73" s="199"/>
    </row>
    <row r="74" spans="1:9" x14ac:dyDescent="0.25">
      <c r="A74" s="200"/>
      <c r="B74" s="13"/>
      <c r="C74" s="196"/>
      <c r="D74" s="197"/>
      <c r="E74" s="198"/>
      <c r="F74" s="199"/>
    </row>
    <row r="75" spans="1:9" x14ac:dyDescent="0.25">
      <c r="A75" s="200"/>
      <c r="B75" s="13"/>
      <c r="C75" s="196"/>
      <c r="D75" s="197"/>
      <c r="E75" s="198"/>
      <c r="F75" s="199"/>
      <c r="I75" s="183"/>
    </row>
    <row r="76" spans="1:9" x14ac:dyDescent="0.25">
      <c r="A76" s="200"/>
      <c r="B76" s="13"/>
      <c r="C76" s="196"/>
      <c r="D76" s="197"/>
      <c r="E76" s="198"/>
      <c r="F76" s="199"/>
      <c r="I76" s="183"/>
    </row>
    <row r="77" spans="1:9" x14ac:dyDescent="0.25">
      <c r="A77" s="200"/>
      <c r="B77" s="13"/>
      <c r="C77" s="196"/>
      <c r="D77" s="197"/>
      <c r="E77" s="198"/>
      <c r="F77" s="199"/>
      <c r="I77" s="183"/>
    </row>
    <row r="78" spans="1:9" x14ac:dyDescent="0.25">
      <c r="A78" s="200"/>
      <c r="B78" s="13"/>
      <c r="C78" s="196"/>
      <c r="D78" s="197"/>
      <c r="E78" s="198"/>
      <c r="F78" s="199"/>
      <c r="I78" s="202"/>
    </row>
    <row r="79" spans="1:9" x14ac:dyDescent="0.25">
      <c r="A79" s="200"/>
      <c r="B79" s="13"/>
      <c r="C79" s="196"/>
      <c r="D79" s="197"/>
      <c r="E79" s="198"/>
      <c r="F79" s="199"/>
    </row>
    <row r="80" spans="1:9" x14ac:dyDescent="0.25">
      <c r="A80" s="200"/>
      <c r="B80" s="13"/>
      <c r="C80" s="196"/>
      <c r="D80" s="197"/>
      <c r="E80" s="198"/>
      <c r="F80" s="199"/>
    </row>
    <row r="81" spans="1:9" x14ac:dyDescent="0.25">
      <c r="A81" s="200"/>
      <c r="B81" s="13"/>
      <c r="C81" s="196"/>
      <c r="D81" s="197"/>
      <c r="E81" s="198"/>
      <c r="F81" s="199"/>
    </row>
    <row r="82" spans="1:9" x14ac:dyDescent="0.25">
      <c r="A82" s="200"/>
      <c r="B82" s="13"/>
      <c r="C82" s="196"/>
      <c r="D82" s="197"/>
      <c r="E82" s="198"/>
      <c r="F82" s="199"/>
      <c r="I82" s="183"/>
    </row>
    <row r="83" spans="1:9" x14ac:dyDescent="0.25">
      <c r="A83" s="200"/>
      <c r="B83" s="13"/>
      <c r="C83" s="196"/>
      <c r="D83" s="197"/>
      <c r="E83" s="198"/>
      <c r="F83" s="199"/>
    </row>
    <row r="84" spans="1:9" x14ac:dyDescent="0.25">
      <c r="A84" s="200"/>
      <c r="B84" s="13"/>
      <c r="C84" s="196"/>
      <c r="D84" s="197"/>
      <c r="E84" s="198"/>
      <c r="F84" s="199"/>
      <c r="I84" s="183"/>
    </row>
    <row r="85" spans="1:9" x14ac:dyDescent="0.25">
      <c r="A85" s="200"/>
      <c r="B85" s="13"/>
      <c r="C85" s="196"/>
      <c r="D85" s="197"/>
      <c r="E85" s="198"/>
      <c r="F85" s="199"/>
    </row>
    <row r="86" spans="1:9" x14ac:dyDescent="0.25">
      <c r="A86" s="200"/>
      <c r="B86" s="13"/>
      <c r="C86" s="196"/>
      <c r="D86" s="197"/>
      <c r="E86" s="198"/>
      <c r="F86" s="199"/>
      <c r="I86" s="183"/>
    </row>
    <row r="87" spans="1:9" x14ac:dyDescent="0.25">
      <c r="A87" s="200"/>
      <c r="B87" s="13"/>
      <c r="C87" s="196"/>
      <c r="D87" s="197"/>
      <c r="E87" s="198"/>
      <c r="F87" s="199"/>
      <c r="I87" s="202"/>
    </row>
    <row r="88" spans="1:9" x14ac:dyDescent="0.25">
      <c r="A88" s="200"/>
      <c r="B88" s="13"/>
      <c r="C88" s="196"/>
      <c r="D88" s="197"/>
      <c r="E88" s="198"/>
      <c r="F88" s="199"/>
      <c r="I88" s="183"/>
    </row>
    <row r="89" spans="1:9" x14ac:dyDescent="0.25">
      <c r="A89" s="200"/>
      <c r="B89" s="13"/>
      <c r="C89" s="196"/>
      <c r="D89" s="197"/>
      <c r="E89" s="198"/>
      <c r="F89" s="199"/>
      <c r="I89" s="202"/>
    </row>
    <row r="90" spans="1:9" x14ac:dyDescent="0.25">
      <c r="A90" s="200"/>
      <c r="B90" s="13"/>
      <c r="C90" s="196"/>
      <c r="D90" s="197"/>
      <c r="E90" s="198"/>
      <c r="F90" s="199"/>
      <c r="I90" s="183"/>
    </row>
    <row r="91" spans="1:9" x14ac:dyDescent="0.25">
      <c r="A91" s="200"/>
      <c r="B91" s="13"/>
      <c r="C91" s="196"/>
    </row>
    <row r="92" spans="1:9" x14ac:dyDescent="0.25">
      <c r="A92" s="200"/>
      <c r="B92" s="13"/>
      <c r="C92" s="196"/>
      <c r="I92" s="183"/>
    </row>
    <row r="93" spans="1:9" x14ac:dyDescent="0.25">
      <c r="A93" s="200"/>
      <c r="B93" s="13"/>
      <c r="C93" s="196"/>
    </row>
    <row r="94" spans="1:9" x14ac:dyDescent="0.25">
      <c r="A94" s="200"/>
      <c r="B94" s="13"/>
      <c r="C94" s="196"/>
    </row>
    <row r="95" spans="1:9" x14ac:dyDescent="0.25">
      <c r="A95" s="200"/>
      <c r="B95" s="13"/>
      <c r="C95" s="196"/>
    </row>
    <row r="96" spans="1:9" x14ac:dyDescent="0.25">
      <c r="A96" s="200"/>
      <c r="B96" s="13"/>
      <c r="C96" s="196"/>
      <c r="I96" s="183"/>
    </row>
    <row r="97" spans="1:9" x14ac:dyDescent="0.25">
      <c r="A97" s="200"/>
      <c r="B97" s="13"/>
      <c r="C97" s="196"/>
      <c r="I97" s="203"/>
    </row>
    <row r="98" spans="1:9" x14ac:dyDescent="0.25">
      <c r="A98" s="200"/>
      <c r="B98" s="13"/>
      <c r="C98" s="196"/>
      <c r="I98" s="183"/>
    </row>
    <row r="99" spans="1:9" x14ac:dyDescent="0.25">
      <c r="A99" s="200"/>
      <c r="B99" s="13"/>
      <c r="C99" s="196"/>
    </row>
    <row r="100" spans="1:9" x14ac:dyDescent="0.25">
      <c r="A100" s="200"/>
      <c r="B100" s="13"/>
      <c r="C100" s="196"/>
      <c r="I100" s="202"/>
    </row>
    <row r="101" spans="1:9" x14ac:dyDescent="0.25">
      <c r="A101" s="200"/>
      <c r="B101" s="13"/>
      <c r="C101" s="196"/>
    </row>
    <row r="102" spans="1:9" x14ac:dyDescent="0.25">
      <c r="A102" s="200"/>
      <c r="B102" s="13"/>
      <c r="C102" s="196"/>
      <c r="I102" s="183"/>
    </row>
    <row r="103" spans="1:9" x14ac:dyDescent="0.25">
      <c r="A103" s="200"/>
      <c r="B103" s="13"/>
      <c r="C103" s="196"/>
    </row>
    <row r="104" spans="1:9" x14ac:dyDescent="0.25">
      <c r="A104" s="200"/>
      <c r="B104" s="13"/>
      <c r="C104" s="196"/>
    </row>
    <row r="105" spans="1:9" x14ac:dyDescent="0.25">
      <c r="A105" s="200"/>
      <c r="B105" s="13"/>
      <c r="C105" s="196"/>
    </row>
    <row r="106" spans="1:9" x14ac:dyDescent="0.25">
      <c r="A106" s="200"/>
      <c r="B106" s="13"/>
      <c r="C106" s="196"/>
      <c r="D106" s="204"/>
    </row>
    <row r="107" spans="1:9" x14ac:dyDescent="0.25">
      <c r="A107" s="200"/>
      <c r="B107" s="13"/>
      <c r="C107" s="196"/>
      <c r="I107" s="183"/>
    </row>
    <row r="108" spans="1:9" x14ac:dyDescent="0.25">
      <c r="A108" s="200"/>
      <c r="B108" s="13"/>
      <c r="C108" s="196"/>
      <c r="I108" s="183"/>
    </row>
    <row r="109" spans="1:9" x14ac:dyDescent="0.25">
      <c r="A109" s="200"/>
      <c r="B109" s="13"/>
      <c r="C109" s="196"/>
      <c r="I109" s="183"/>
    </row>
    <row r="110" spans="1:9" x14ac:dyDescent="0.25">
      <c r="A110" s="200"/>
      <c r="B110" s="13"/>
      <c r="C110" s="196"/>
    </row>
    <row r="111" spans="1:9" x14ac:dyDescent="0.25">
      <c r="A111" s="200"/>
      <c r="B111" s="13"/>
      <c r="C111" s="196"/>
    </row>
    <row r="112" spans="1:9" x14ac:dyDescent="0.25">
      <c r="A112" s="200"/>
      <c r="B112" s="13"/>
      <c r="C112" s="196"/>
    </row>
    <row r="113" spans="1:9" x14ac:dyDescent="0.25">
      <c r="A113" s="200"/>
      <c r="B113" s="13"/>
      <c r="C113" s="196"/>
      <c r="I113" s="202"/>
    </row>
    <row r="114" spans="1:9" x14ac:dyDescent="0.25">
      <c r="A114" s="200"/>
      <c r="B114" s="13"/>
      <c r="C114" s="196"/>
    </row>
    <row r="115" spans="1:9" x14ac:dyDescent="0.25">
      <c r="A115" s="200"/>
      <c r="B115" s="13"/>
      <c r="C115" s="196"/>
    </row>
    <row r="116" spans="1:9" x14ac:dyDescent="0.25">
      <c r="A116" s="200"/>
      <c r="B116" s="13"/>
      <c r="C116" s="196"/>
    </row>
    <row r="117" spans="1:9" x14ac:dyDescent="0.25">
      <c r="A117" s="200"/>
      <c r="B117" s="13"/>
      <c r="C117" s="196"/>
      <c r="I117" s="183"/>
    </row>
    <row r="118" spans="1:9" x14ac:dyDescent="0.25">
      <c r="A118" s="200"/>
      <c r="B118" s="13"/>
      <c r="C118" s="196"/>
    </row>
    <row r="119" spans="1:9" x14ac:dyDescent="0.25">
      <c r="A119" s="200"/>
      <c r="B119" s="13"/>
      <c r="C119" s="196"/>
      <c r="I119" s="183"/>
    </row>
    <row r="120" spans="1:9" x14ac:dyDescent="0.25">
      <c r="A120" s="200"/>
      <c r="B120" s="13"/>
      <c r="C120" s="196"/>
    </row>
    <row r="121" spans="1:9" x14ac:dyDescent="0.25">
      <c r="A121" s="200"/>
      <c r="B121" s="13"/>
      <c r="C121" s="196"/>
      <c r="I121" s="202"/>
    </row>
    <row r="122" spans="1:9" x14ac:dyDescent="0.25">
      <c r="A122" s="200"/>
      <c r="B122" s="13"/>
      <c r="C122" s="196"/>
    </row>
    <row r="123" spans="1:9" x14ac:dyDescent="0.25">
      <c r="A123" s="200"/>
      <c r="B123" s="13"/>
      <c r="C123" s="196"/>
    </row>
    <row r="124" spans="1:9" x14ac:dyDescent="0.25">
      <c r="A124" s="200"/>
      <c r="B124" s="13"/>
      <c r="C124" s="196"/>
    </row>
    <row r="125" spans="1:9" x14ac:dyDescent="0.25">
      <c r="A125" s="200"/>
      <c r="B125" s="13"/>
      <c r="C125" s="196"/>
      <c r="I125" s="202"/>
    </row>
    <row r="126" spans="1:9" x14ac:dyDescent="0.25">
      <c r="A126" s="200"/>
      <c r="B126" s="13"/>
      <c r="C126" s="196"/>
      <c r="I126" s="202"/>
    </row>
    <row r="127" spans="1:9" x14ac:dyDescent="0.25">
      <c r="A127" s="200"/>
      <c r="B127" s="13"/>
      <c r="C127" s="196"/>
      <c r="I127" s="183"/>
    </row>
    <row r="128" spans="1:9" x14ac:dyDescent="0.25">
      <c r="A128" s="200"/>
      <c r="B128" s="13"/>
      <c r="C128" s="196"/>
    </row>
    <row r="129" spans="1:9" x14ac:dyDescent="0.25">
      <c r="A129" s="200"/>
      <c r="B129" s="13"/>
      <c r="C129" s="196"/>
      <c r="I129" s="183"/>
    </row>
    <row r="130" spans="1:9" x14ac:dyDescent="0.25">
      <c r="A130" s="200"/>
      <c r="B130" s="13"/>
      <c r="C130" s="196"/>
      <c r="I130" s="202"/>
    </row>
    <row r="131" spans="1:9" x14ac:dyDescent="0.25">
      <c r="A131" s="200"/>
      <c r="B131" s="13"/>
      <c r="C131" s="196"/>
      <c r="I131" s="183"/>
    </row>
    <row r="132" spans="1:9" x14ac:dyDescent="0.25">
      <c r="A132" s="200"/>
      <c r="B132" s="13"/>
      <c r="C132" s="196"/>
    </row>
    <row r="133" spans="1:9" x14ac:dyDescent="0.25">
      <c r="A133" s="200"/>
      <c r="B133" s="13"/>
      <c r="C133" s="196"/>
      <c r="I133" s="183"/>
    </row>
    <row r="134" spans="1:9" x14ac:dyDescent="0.25">
      <c r="A134" s="200"/>
      <c r="B134" s="13"/>
      <c r="C134" s="196"/>
    </row>
    <row r="135" spans="1:9" x14ac:dyDescent="0.25">
      <c r="A135" s="200"/>
      <c r="B135" s="13"/>
      <c r="C135" s="196"/>
      <c r="I135" s="183"/>
    </row>
    <row r="136" spans="1:9" x14ac:dyDescent="0.25">
      <c r="A136" s="200"/>
      <c r="B136" s="13"/>
      <c r="C136" s="196"/>
      <c r="I136" s="203"/>
    </row>
    <row r="137" spans="1:9" x14ac:dyDescent="0.25">
      <c r="A137" s="200"/>
      <c r="B137" s="13"/>
      <c r="C137" s="196"/>
      <c r="I137" s="183"/>
    </row>
    <row r="138" spans="1:9" x14ac:dyDescent="0.25">
      <c r="A138" s="200"/>
      <c r="B138" s="13"/>
      <c r="C138" s="196"/>
      <c r="I138" s="183"/>
    </row>
    <row r="139" spans="1:9" x14ac:dyDescent="0.25">
      <c r="A139" s="200"/>
      <c r="B139" s="13"/>
      <c r="C139" s="196"/>
    </row>
    <row r="140" spans="1:9" x14ac:dyDescent="0.25">
      <c r="A140" s="200"/>
      <c r="B140" s="13"/>
      <c r="C140" s="196"/>
    </row>
    <row r="141" spans="1:9" x14ac:dyDescent="0.25">
      <c r="A141" s="200"/>
      <c r="B141" s="13"/>
      <c r="C141" s="196"/>
    </row>
    <row r="142" spans="1:9" x14ac:dyDescent="0.25">
      <c r="A142" s="200"/>
      <c r="B142" s="13"/>
      <c r="C142" s="196"/>
      <c r="I142" s="183"/>
    </row>
    <row r="143" spans="1:9" x14ac:dyDescent="0.25">
      <c r="A143" s="200"/>
      <c r="B143" s="13"/>
      <c r="C143" s="196"/>
    </row>
    <row r="144" spans="1:9" x14ac:dyDescent="0.25">
      <c r="A144" s="200"/>
      <c r="B144" s="13"/>
      <c r="C144" s="196"/>
      <c r="I144" s="203"/>
    </row>
    <row r="145" spans="1:9" x14ac:dyDescent="0.25">
      <c r="A145" s="200"/>
      <c r="B145" s="13"/>
      <c r="C145" s="196"/>
    </row>
    <row r="146" spans="1:9" x14ac:dyDescent="0.25">
      <c r="A146" s="200"/>
      <c r="B146" s="13"/>
      <c r="C146" s="196"/>
      <c r="I146" s="183"/>
    </row>
    <row r="147" spans="1:9" x14ac:dyDescent="0.25">
      <c r="A147" s="200"/>
      <c r="B147" s="13"/>
      <c r="C147" s="196"/>
      <c r="I147" s="183"/>
    </row>
    <row r="148" spans="1:9" x14ac:dyDescent="0.25">
      <c r="A148" s="200"/>
      <c r="B148" s="13"/>
      <c r="C148" s="196"/>
    </row>
    <row r="149" spans="1:9" x14ac:dyDescent="0.25">
      <c r="A149" s="200"/>
      <c r="B149" s="13"/>
      <c r="C149" s="196"/>
      <c r="I149" s="183"/>
    </row>
    <row r="150" spans="1:9" x14ac:dyDescent="0.25">
      <c r="A150" s="200"/>
      <c r="B150" s="13"/>
      <c r="C150" s="196"/>
    </row>
    <row r="151" spans="1:9" x14ac:dyDescent="0.25">
      <c r="A151" s="200"/>
      <c r="B151" s="13"/>
      <c r="C151" s="196"/>
    </row>
    <row r="152" spans="1:9" x14ac:dyDescent="0.25">
      <c r="A152" s="200"/>
      <c r="B152" s="13"/>
      <c r="C152" s="196"/>
      <c r="I152" s="183"/>
    </row>
    <row r="153" spans="1:9" x14ac:dyDescent="0.25">
      <c r="A153" s="200"/>
      <c r="B153" s="13"/>
      <c r="C153" s="196"/>
      <c r="I153" s="183"/>
    </row>
    <row r="154" spans="1:9" x14ac:dyDescent="0.25">
      <c r="A154" s="200"/>
      <c r="B154" s="13"/>
      <c r="C154" s="196"/>
      <c r="I154" s="183"/>
    </row>
    <row r="155" spans="1:9" x14ac:dyDescent="0.25">
      <c r="A155" s="200"/>
      <c r="B155" s="13"/>
      <c r="C155" s="196"/>
    </row>
    <row r="156" spans="1:9" x14ac:dyDescent="0.25">
      <c r="A156" s="200"/>
      <c r="B156" s="13"/>
      <c r="C156" s="196"/>
    </row>
    <row r="157" spans="1:9" x14ac:dyDescent="0.25">
      <c r="A157" s="200"/>
      <c r="B157" s="13"/>
      <c r="C157" s="196"/>
    </row>
    <row r="158" spans="1:9" x14ac:dyDescent="0.25">
      <c r="A158" s="200"/>
      <c r="B158" s="13"/>
      <c r="C158" s="196"/>
    </row>
    <row r="159" spans="1:9" x14ac:dyDescent="0.25">
      <c r="A159" s="200"/>
      <c r="B159" s="13"/>
      <c r="C159" s="196"/>
    </row>
    <row r="160" spans="1:9" x14ac:dyDescent="0.25">
      <c r="A160" s="200"/>
      <c r="B160" s="13"/>
      <c r="C160" s="196"/>
    </row>
    <row r="161" spans="1:9" x14ac:dyDescent="0.25">
      <c r="A161" s="200"/>
      <c r="B161" s="13"/>
      <c r="C161" s="196"/>
      <c r="I161" s="202"/>
    </row>
    <row r="162" spans="1:9" x14ac:dyDescent="0.25">
      <c r="A162" s="200"/>
      <c r="B162" s="13"/>
      <c r="C162" s="196"/>
      <c r="I162" s="183"/>
    </row>
    <row r="163" spans="1:9" x14ac:dyDescent="0.25">
      <c r="A163" s="200"/>
      <c r="B163" s="13"/>
      <c r="C163" s="196"/>
    </row>
    <row r="164" spans="1:9" x14ac:dyDescent="0.25">
      <c r="A164" s="200"/>
      <c r="B164" s="13"/>
      <c r="C164" s="196"/>
      <c r="I164" s="183"/>
    </row>
    <row r="165" spans="1:9" x14ac:dyDescent="0.25">
      <c r="A165" s="200"/>
      <c r="B165" s="13"/>
      <c r="C165" s="196"/>
      <c r="I165" s="183"/>
    </row>
    <row r="166" spans="1:9" x14ac:dyDescent="0.25">
      <c r="A166" s="200"/>
      <c r="B166" s="13"/>
      <c r="C166" s="196"/>
    </row>
    <row r="167" spans="1:9" x14ac:dyDescent="0.25">
      <c r="A167" s="200"/>
      <c r="B167" s="13"/>
      <c r="C167" s="196"/>
      <c r="I167" s="183"/>
    </row>
    <row r="168" spans="1:9" x14ac:dyDescent="0.25">
      <c r="A168" s="200"/>
      <c r="B168" s="13"/>
      <c r="C168" s="196"/>
      <c r="I168" s="183"/>
    </row>
    <row r="169" spans="1:9" x14ac:dyDescent="0.25">
      <c r="A169" s="200"/>
      <c r="B169" s="13"/>
      <c r="C169" s="196"/>
    </row>
    <row r="170" spans="1:9" x14ac:dyDescent="0.25">
      <c r="A170" s="200"/>
      <c r="B170" s="13"/>
      <c r="C170" s="196"/>
      <c r="I170" s="183"/>
    </row>
    <row r="171" spans="1:9" x14ac:dyDescent="0.25">
      <c r="A171" s="200"/>
      <c r="B171" s="13"/>
      <c r="C171" s="196"/>
      <c r="I171" s="183"/>
    </row>
    <row r="172" spans="1:9" x14ac:dyDescent="0.25">
      <c r="A172" s="200"/>
      <c r="B172" s="13"/>
      <c r="C172" s="196"/>
    </row>
    <row r="173" spans="1:9" x14ac:dyDescent="0.25">
      <c r="A173" s="200"/>
      <c r="B173" s="13"/>
      <c r="C173" s="196"/>
      <c r="I173" s="183"/>
    </row>
    <row r="174" spans="1:9" x14ac:dyDescent="0.25">
      <c r="A174" s="200"/>
      <c r="B174" s="13"/>
      <c r="C174" s="196"/>
    </row>
    <row r="175" spans="1:9" x14ac:dyDescent="0.25">
      <c r="A175" s="200"/>
      <c r="B175" s="13"/>
      <c r="C175" s="196"/>
      <c r="I175" s="183"/>
    </row>
    <row r="176" spans="1:9" x14ac:dyDescent="0.25">
      <c r="A176" s="200"/>
      <c r="B176" s="13"/>
      <c r="C176" s="196"/>
    </row>
    <row r="177" spans="1:9" x14ac:dyDescent="0.25">
      <c r="A177" s="200"/>
      <c r="B177" s="13"/>
      <c r="C177" s="196"/>
      <c r="I177" s="183"/>
    </row>
    <row r="178" spans="1:9" x14ac:dyDescent="0.25">
      <c r="A178" s="200"/>
      <c r="B178" s="13"/>
      <c r="C178" s="196"/>
      <c r="I178" s="183"/>
    </row>
    <row r="179" spans="1:9" x14ac:dyDescent="0.25">
      <c r="A179" s="200"/>
      <c r="B179" s="13"/>
      <c r="C179" s="196"/>
      <c r="I179" s="183"/>
    </row>
    <row r="180" spans="1:9" x14ac:dyDescent="0.25">
      <c r="A180" s="200"/>
      <c r="B180" s="13"/>
      <c r="C180" s="196"/>
    </row>
    <row r="181" spans="1:9" x14ac:dyDescent="0.25">
      <c r="A181" s="200"/>
      <c r="B181" s="13"/>
      <c r="C181" s="196"/>
      <c r="I181" s="183"/>
    </row>
    <row r="182" spans="1:9" x14ac:dyDescent="0.25">
      <c r="A182" s="200"/>
      <c r="B182" s="13"/>
      <c r="C182" s="196"/>
    </row>
    <row r="183" spans="1:9" x14ac:dyDescent="0.25">
      <c r="A183" s="200"/>
      <c r="B183" s="13"/>
      <c r="C183" s="196"/>
    </row>
    <row r="184" spans="1:9" x14ac:dyDescent="0.25">
      <c r="A184" s="200"/>
      <c r="B184" s="13"/>
      <c r="C184" s="196"/>
      <c r="I184" s="183"/>
    </row>
    <row r="185" spans="1:9" x14ac:dyDescent="0.25">
      <c r="A185" s="200"/>
      <c r="B185" s="13"/>
      <c r="C185" s="196"/>
      <c r="I185" s="183"/>
    </row>
    <row r="186" spans="1:9" x14ac:dyDescent="0.25">
      <c r="A186" s="200"/>
      <c r="B186" s="13"/>
      <c r="C186" s="196"/>
      <c r="I186" s="183"/>
    </row>
    <row r="187" spans="1:9" x14ac:dyDescent="0.25">
      <c r="A187" s="200"/>
      <c r="B187" s="13"/>
      <c r="C187" s="196"/>
    </row>
    <row r="188" spans="1:9" x14ac:dyDescent="0.25">
      <c r="A188" s="200"/>
      <c r="B188" s="13"/>
      <c r="C188" s="196"/>
      <c r="I188" s="202"/>
    </row>
    <row r="189" spans="1:9" x14ac:dyDescent="0.25">
      <c r="A189" s="200"/>
      <c r="B189" s="13"/>
      <c r="C189" s="196"/>
    </row>
    <row r="190" spans="1:9" x14ac:dyDescent="0.25">
      <c r="A190" s="200"/>
      <c r="B190" s="13"/>
      <c r="C190" s="196"/>
    </row>
    <row r="191" spans="1:9" x14ac:dyDescent="0.25">
      <c r="A191" s="200"/>
      <c r="B191" s="13"/>
      <c r="C191" s="196"/>
    </row>
    <row r="192" spans="1:9" x14ac:dyDescent="0.25">
      <c r="A192" s="200"/>
      <c r="B192" s="13"/>
      <c r="C192" s="196"/>
    </row>
    <row r="193" spans="1:9" x14ac:dyDescent="0.25">
      <c r="A193" s="200"/>
      <c r="B193" s="13"/>
      <c r="C193" s="196"/>
      <c r="I193" s="183"/>
    </row>
    <row r="194" spans="1:9" x14ac:dyDescent="0.25">
      <c r="A194" s="200"/>
      <c r="B194" s="13"/>
      <c r="C194" s="196"/>
      <c r="I194" s="202"/>
    </row>
    <row r="195" spans="1:9" x14ac:dyDescent="0.25">
      <c r="A195" s="200"/>
      <c r="B195" s="13"/>
      <c r="C195" s="196"/>
      <c r="I195" s="203"/>
    </row>
    <row r="196" spans="1:9" x14ac:dyDescent="0.25">
      <c r="A196" s="200"/>
      <c r="B196" s="13"/>
      <c r="C196" s="196"/>
    </row>
    <row r="197" spans="1:9" x14ac:dyDescent="0.25">
      <c r="A197" s="200"/>
      <c r="B197" s="13"/>
      <c r="C197" s="196"/>
    </row>
    <row r="198" spans="1:9" x14ac:dyDescent="0.25">
      <c r="A198" s="200"/>
      <c r="B198" s="13"/>
      <c r="C198" s="196"/>
    </row>
    <row r="199" spans="1:9" x14ac:dyDescent="0.25">
      <c r="A199" s="200"/>
      <c r="B199" s="13"/>
      <c r="C199" s="196"/>
      <c r="I199" s="183"/>
    </row>
    <row r="200" spans="1:9" x14ac:dyDescent="0.25">
      <c r="A200" s="200"/>
      <c r="B200" s="13"/>
      <c r="C200" s="196"/>
    </row>
    <row r="201" spans="1:9" x14ac:dyDescent="0.25">
      <c r="A201" s="200"/>
      <c r="B201" s="13"/>
      <c r="C201" s="196"/>
      <c r="I201" s="183"/>
    </row>
    <row r="202" spans="1:9" x14ac:dyDescent="0.25">
      <c r="A202" s="200"/>
      <c r="B202" s="13"/>
      <c r="C202" s="196"/>
    </row>
    <row r="203" spans="1:9" x14ac:dyDescent="0.25">
      <c r="A203" s="200"/>
      <c r="B203" s="13"/>
      <c r="C203" s="196"/>
    </row>
    <row r="204" spans="1:9" x14ac:dyDescent="0.25">
      <c r="A204" s="200"/>
      <c r="B204" s="13"/>
      <c r="C204" s="196"/>
    </row>
    <row r="205" spans="1:9" x14ac:dyDescent="0.25">
      <c r="A205" s="200"/>
      <c r="B205" s="13"/>
      <c r="C205" s="196"/>
      <c r="I205" s="183"/>
    </row>
    <row r="206" spans="1:9" x14ac:dyDescent="0.25">
      <c r="A206" s="200"/>
      <c r="B206" s="13"/>
      <c r="C206" s="196"/>
    </row>
    <row r="207" spans="1:9" x14ac:dyDescent="0.25">
      <c r="A207" s="200"/>
      <c r="B207" s="13"/>
      <c r="C207" s="196"/>
    </row>
    <row r="208" spans="1:9" x14ac:dyDescent="0.25">
      <c r="A208" s="200"/>
      <c r="B208" s="13"/>
      <c r="C208" s="13"/>
    </row>
    <row r="209" spans="1:9" x14ac:dyDescent="0.25">
      <c r="A209" s="200"/>
      <c r="B209" s="13"/>
      <c r="C209" s="196"/>
      <c r="I209" s="202"/>
    </row>
    <row r="210" spans="1:9" x14ac:dyDescent="0.25">
      <c r="A210" s="200"/>
      <c r="B210" s="13"/>
      <c r="C210" s="196"/>
      <c r="I210" s="183"/>
    </row>
    <row r="211" spans="1:9" x14ac:dyDescent="0.25">
      <c r="A211" s="200"/>
      <c r="B211" s="13"/>
      <c r="C211" s="196"/>
    </row>
    <row r="212" spans="1:9" x14ac:dyDescent="0.25">
      <c r="A212" s="200"/>
      <c r="B212" s="13"/>
      <c r="C212" s="196"/>
      <c r="I212" s="183"/>
    </row>
    <row r="213" spans="1:9" x14ac:dyDescent="0.25">
      <c r="A213" s="200"/>
      <c r="B213" s="13"/>
      <c r="C213" s="196"/>
    </row>
    <row r="214" spans="1:9" x14ac:dyDescent="0.25">
      <c r="A214" s="200"/>
      <c r="B214" s="13"/>
      <c r="C214" s="196"/>
    </row>
    <row r="215" spans="1:9" x14ac:dyDescent="0.25">
      <c r="A215" s="200"/>
      <c r="B215" s="13"/>
      <c r="C215" s="196"/>
    </row>
    <row r="216" spans="1:9" x14ac:dyDescent="0.25">
      <c r="A216" s="200"/>
      <c r="B216" s="13"/>
      <c r="C216" s="196"/>
      <c r="I216" s="183"/>
    </row>
    <row r="217" spans="1:9" x14ac:dyDescent="0.25">
      <c r="A217" s="200"/>
      <c r="B217" s="13"/>
      <c r="C217" s="196"/>
    </row>
    <row r="218" spans="1:9" x14ac:dyDescent="0.25">
      <c r="A218" s="200"/>
      <c r="B218" s="13"/>
      <c r="C218" s="196"/>
      <c r="I218" s="183"/>
    </row>
    <row r="219" spans="1:9" x14ac:dyDescent="0.25">
      <c r="A219" s="200"/>
      <c r="B219" s="13"/>
      <c r="C219" s="196"/>
    </row>
    <row r="220" spans="1:9" x14ac:dyDescent="0.25">
      <c r="A220" s="200"/>
      <c r="B220" s="13"/>
      <c r="C220" s="13"/>
    </row>
    <row r="221" spans="1:9" x14ac:dyDescent="0.25">
      <c r="A221" s="200"/>
      <c r="B221" s="13"/>
      <c r="C221" s="13"/>
    </row>
    <row r="222" spans="1:9" x14ac:dyDescent="0.25">
      <c r="A222" s="200"/>
      <c r="B222" s="13"/>
      <c r="C222" s="13"/>
    </row>
    <row r="223" spans="1:9" x14ac:dyDescent="0.25">
      <c r="A223" s="200"/>
      <c r="B223" s="13"/>
      <c r="C223" s="13"/>
    </row>
    <row r="224" spans="1:9" x14ac:dyDescent="0.25">
      <c r="A224" s="200"/>
      <c r="B224" s="13"/>
      <c r="C224" s="13"/>
    </row>
    <row r="225" spans="1:3" x14ac:dyDescent="0.25">
      <c r="A225" s="200"/>
      <c r="B225" s="13"/>
      <c r="C225" s="13"/>
    </row>
    <row r="226" spans="1:3" x14ac:dyDescent="0.25">
      <c r="A226" s="200"/>
      <c r="B226" s="13"/>
      <c r="C226" s="13"/>
    </row>
    <row r="227" spans="1:3" x14ac:dyDescent="0.25">
      <c r="A227" s="200"/>
      <c r="B227" s="13"/>
      <c r="C227" s="13"/>
    </row>
    <row r="228" spans="1:3" x14ac:dyDescent="0.25">
      <c r="A228" s="200"/>
      <c r="B228" s="13"/>
      <c r="C228" s="13"/>
    </row>
    <row r="229" spans="1:3" x14ac:dyDescent="0.25">
      <c r="A229" s="200"/>
      <c r="B229" s="13"/>
      <c r="C229" s="13"/>
    </row>
    <row r="230" spans="1:3" x14ac:dyDescent="0.25">
      <c r="A230" s="200"/>
      <c r="B230" s="13"/>
      <c r="C230" s="13"/>
    </row>
    <row r="231" spans="1:3" x14ac:dyDescent="0.25">
      <c r="A231" s="200"/>
      <c r="B231" s="13"/>
      <c r="C231" s="13"/>
    </row>
    <row r="232" spans="1:3" x14ac:dyDescent="0.25">
      <c r="A232" s="200"/>
      <c r="B232" s="13"/>
      <c r="C232" s="13"/>
    </row>
    <row r="233" spans="1:3" x14ac:dyDescent="0.25">
      <c r="A233" s="200"/>
      <c r="B233" s="13"/>
      <c r="C233" s="196"/>
    </row>
    <row r="234" spans="1:3" x14ac:dyDescent="0.25">
      <c r="A234" s="200"/>
      <c r="B234" s="13"/>
      <c r="C234" s="13"/>
    </row>
    <row r="235" spans="1:3" x14ac:dyDescent="0.25">
      <c r="A235" s="200"/>
      <c r="B235" s="13"/>
      <c r="C235" s="196"/>
    </row>
    <row r="236" spans="1:3" x14ac:dyDescent="0.25">
      <c r="A236" s="200"/>
      <c r="B236" s="13"/>
      <c r="C236" s="13"/>
    </row>
    <row r="237" spans="1:3" x14ac:dyDescent="0.25">
      <c r="A237" s="200"/>
      <c r="B237" s="13"/>
      <c r="C237" s="13"/>
    </row>
    <row r="238" spans="1:3" x14ac:dyDescent="0.25">
      <c r="A238" s="200"/>
      <c r="B238" s="13"/>
      <c r="C238" s="196"/>
    </row>
    <row r="239" spans="1:3" x14ac:dyDescent="0.25">
      <c r="A239" s="200"/>
      <c r="B239" s="13"/>
      <c r="C239" s="13"/>
    </row>
    <row r="240" spans="1:3" x14ac:dyDescent="0.25">
      <c r="A240" s="200"/>
      <c r="B240" s="13"/>
      <c r="C240" s="13"/>
    </row>
    <row r="241" spans="3:3" x14ac:dyDescent="0.25">
      <c r="C241" s="196"/>
    </row>
    <row r="243" spans="3:3" x14ac:dyDescent="0.25">
      <c r="C243" s="196"/>
    </row>
  </sheetData>
  <mergeCells count="6">
    <mergeCell ref="F5:G5"/>
    <mergeCell ref="F3:G3"/>
    <mergeCell ref="F4:G4"/>
    <mergeCell ref="F2:G2"/>
    <mergeCell ref="B2:C2"/>
    <mergeCell ref="B3:C3"/>
  </mergeCells>
  <dataValidations count="8">
    <dataValidation allowBlank="1" showInputMessage="1" showErrorMessage="1" promptTitle="Assembly" prompt="Entering a task name in the Task column will automatically enter the correct assembly and phase. Right click to enter an assembly only when necessary to correct an invalid entry." sqref="A6" xr:uid="{00000000-0002-0000-1000-000000000000}">
      <formula1>0</formula1>
      <formula2>0</formula2>
    </dataValidation>
    <dataValidation allowBlank="1" showInputMessage="1" showErrorMessage="1" promptTitle="Phase" prompt="Entering a task name in the Task column will automatically enter the correct assembly and phase. Right click to enter a phase only when necessary to correct an invalid entry." sqref="B6" xr:uid="{00000000-0002-0000-1000-000001000000}">
      <formula1>0</formula1>
      <formula2>0</formula2>
    </dataValidation>
    <dataValidation allowBlank="1" showInputMessage="1" showErrorMessage="1" promptTitle="Task" prompt="Right click to select a task. You may select from a list of all tasks, all open tasks, or use the part-&gt;task hierarchy to select the task. The correct assembly and phase name will be entered automatically." sqref="C6" xr:uid="{00000000-0002-0000-1000-000002000000}">
      <formula1>0</formula1>
      <formula2>0</formula2>
    </dataValidation>
    <dataValidation allowBlank="1" showInputMessage="1" showErrorMessage="1" promptTitle="Date" prompt="Enter the start date in any valid Excel date format. A default value of today is entered if the task has been selected." sqref="D6" xr:uid="{00000000-0002-0000-1000-000003000000}">
      <formula1>0</formula1>
      <formula2>0</formula2>
    </dataValidation>
    <dataValidation allowBlank="1" showInputMessage="1" showErrorMessage="1" promptTitle="Start" prompt="Enter the start time in a valid Excel time format. A default value of the system time is entered if the preceeding fields have been entered." sqref="E6" xr:uid="{00000000-0002-0000-1000-000004000000}">
      <formula1>0</formula1>
      <formula2>0</formula2>
    </dataValidation>
    <dataValidation allowBlank="1" showInputMessage="1" showErrorMessage="1" promptTitle="Interrupt Time" prompt="Enter the interrupt time in minutes." sqref="F6" xr:uid="{00000000-0002-0000-1000-000005000000}">
      <formula1>0</formula1>
      <formula2>0</formula2>
    </dataValidation>
    <dataValidation allowBlank="1" showInputMessage="1" showErrorMessage="1" promptTitle="Stop" prompt="Enter the stop time in a valid Excel time format. A default value of the system time is entered if the preceeding fields have been entered." sqref="G6" xr:uid="{00000000-0002-0000-1000-000006000000}">
      <formula1>0</formula1>
      <formula2>0</formula2>
    </dataValidation>
    <dataValidation allowBlank="1" showInputMessage="1" showErrorMessage="1" promptTitle="Delta Time" prompt="Delta time is calculated from the Start time and Stop time. If the stop time is earlier than the start time, a stop date of the next day is assumed. Example: 11:30 PM to 00:30 AM is elapsed time of 60 minutes." sqref="H6" xr:uid="{00000000-0002-0000-1000-000007000000}">
      <formula1>0</formula1>
      <formula2>0</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W438"/>
  <sheetViews>
    <sheetView workbookViewId="0"/>
  </sheetViews>
  <sheetFormatPr baseColWidth="10" defaultColWidth="11.44140625" defaultRowHeight="13.2" x14ac:dyDescent="0.25"/>
  <cols>
    <col min="1" max="1" width="8.6640625" style="205" customWidth="1"/>
    <col min="2" max="3" width="4.6640625" style="180" customWidth="1"/>
    <col min="4" max="4" width="10.33203125" style="180" customWidth="1"/>
    <col min="5" max="6" width="22.6640625" style="180" customWidth="1"/>
    <col min="7" max="7" width="5.6640625" style="183" customWidth="1"/>
    <col min="8" max="8" width="5.6640625" style="180" customWidth="1"/>
    <col min="9" max="9" width="44.6640625" style="180" customWidth="1"/>
    <col min="10" max="257" width="11.44140625" style="185" customWidth="1"/>
  </cols>
  <sheetData>
    <row r="1" spans="1:14" ht="15.6" customHeight="1" x14ac:dyDescent="0.3">
      <c r="A1" s="87" t="str">
        <f>TSPProcessName&amp;" Defect Recording Log - Form LOGD"</f>
        <v>TSPi Defect Recording Log - Form LOGD</v>
      </c>
      <c r="B1" s="87"/>
      <c r="C1" s="87"/>
      <c r="D1" s="87"/>
      <c r="E1" s="87"/>
      <c r="F1" s="87"/>
      <c r="G1" s="87"/>
      <c r="H1" s="87"/>
      <c r="I1" s="87"/>
    </row>
    <row r="2" spans="1:14" x14ac:dyDescent="0.25">
      <c r="A2" s="88" t="s">
        <v>312</v>
      </c>
      <c r="B2" s="289" t="str">
        <f>IF(Name=0,"",Name)</f>
        <v>Catálogo de Productos de Belleza Be Beautiful</v>
      </c>
      <c r="C2" s="290"/>
      <c r="D2" s="290"/>
      <c r="E2" s="88" t="s">
        <v>314</v>
      </c>
      <c r="F2" s="268">
        <v>46196</v>
      </c>
    </row>
    <row r="3" spans="1:14" x14ac:dyDescent="0.25">
      <c r="A3" s="88" t="s">
        <v>14</v>
      </c>
      <c r="B3" s="294" t="str">
        <f>IF(TeamName=0,"",TeamName)</f>
        <v>Subgrupo 4</v>
      </c>
      <c r="C3" s="295"/>
      <c r="D3" s="295"/>
      <c r="E3" s="88" t="str">
        <f>IF(Project!C5&lt;&gt;"",Project!C5,"")</f>
        <v>Instructor</v>
      </c>
      <c r="F3" s="99" t="str">
        <f>IF(InstructorName=0,"",InstructorName)</f>
        <v>Martinez, Natalia</v>
      </c>
    </row>
    <row r="4" spans="1:14" x14ac:dyDescent="0.25">
      <c r="A4" s="88"/>
      <c r="B4" s="39"/>
      <c r="C4" s="39"/>
      <c r="D4" s="39"/>
      <c r="E4" s="88" t="s">
        <v>326</v>
      </c>
      <c r="F4" s="99" t="s">
        <v>408</v>
      </c>
    </row>
    <row r="5" spans="1:14" x14ac:dyDescent="0.25">
      <c r="A5" s="38"/>
      <c r="B5" s="38"/>
      <c r="C5" s="38"/>
      <c r="D5" s="38"/>
      <c r="E5" s="38"/>
      <c r="F5" s="38"/>
      <c r="G5" s="38"/>
      <c r="H5" s="33"/>
      <c r="I5" s="33"/>
    </row>
    <row r="6" spans="1:14" ht="24" customHeight="1" x14ac:dyDescent="0.25">
      <c r="A6" s="206" t="s">
        <v>314</v>
      </c>
      <c r="B6" s="191" t="s">
        <v>698</v>
      </c>
      <c r="C6" s="191" t="s">
        <v>699</v>
      </c>
      <c r="D6" s="191" t="s">
        <v>325</v>
      </c>
      <c r="E6" s="191" t="s">
        <v>700</v>
      </c>
      <c r="F6" s="191" t="s">
        <v>701</v>
      </c>
      <c r="G6" s="194" t="s">
        <v>702</v>
      </c>
      <c r="H6" s="191" t="s">
        <v>703</v>
      </c>
      <c r="I6" s="191" t="s">
        <v>2</v>
      </c>
      <c r="J6" s="33"/>
      <c r="K6" s="33"/>
      <c r="L6" s="33"/>
      <c r="M6" s="33"/>
      <c r="N6" s="33"/>
    </row>
    <row r="7" spans="1:14" x14ac:dyDescent="0.25">
      <c r="A7" s="263">
        <v>46169</v>
      </c>
      <c r="B7" s="196">
        <v>1</v>
      </c>
      <c r="C7" s="13">
        <v>10</v>
      </c>
      <c r="D7" s="13" t="s">
        <v>704</v>
      </c>
      <c r="E7" s="13" t="s">
        <v>569</v>
      </c>
      <c r="F7" s="13" t="s">
        <v>569</v>
      </c>
      <c r="G7" s="261">
        <v>0.4</v>
      </c>
      <c r="H7" s="196" t="s">
        <v>705</v>
      </c>
      <c r="I7" t="s">
        <v>706</v>
      </c>
    </row>
    <row r="8" spans="1:14" x14ac:dyDescent="0.25">
      <c r="A8" s="263">
        <v>46169</v>
      </c>
      <c r="B8" s="196">
        <v>2</v>
      </c>
      <c r="C8" s="13">
        <v>40</v>
      </c>
      <c r="D8" s="13" t="s">
        <v>18</v>
      </c>
      <c r="E8" s="13" t="s">
        <v>601</v>
      </c>
      <c r="F8" s="13" t="s">
        <v>569</v>
      </c>
      <c r="G8" s="261">
        <v>0.3</v>
      </c>
      <c r="H8" s="196" t="s">
        <v>707</v>
      </c>
      <c r="I8" t="s">
        <v>708</v>
      </c>
    </row>
    <row r="9" spans="1:14" x14ac:dyDescent="0.25">
      <c r="A9" s="263">
        <v>46170</v>
      </c>
      <c r="B9" s="196">
        <v>3</v>
      </c>
      <c r="C9" s="13">
        <v>10</v>
      </c>
      <c r="D9" s="13" t="s">
        <v>709</v>
      </c>
      <c r="E9" s="13" t="s">
        <v>710</v>
      </c>
      <c r="F9" s="13" t="s">
        <v>569</v>
      </c>
      <c r="G9" s="261">
        <v>0.4</v>
      </c>
      <c r="H9" s="196" t="s">
        <v>711</v>
      </c>
      <c r="I9" t="s">
        <v>712</v>
      </c>
    </row>
    <row r="10" spans="1:14" x14ac:dyDescent="0.25">
      <c r="A10" s="263">
        <v>46170</v>
      </c>
      <c r="B10" s="196">
        <v>4</v>
      </c>
      <c r="C10" s="13">
        <v>10</v>
      </c>
      <c r="D10" s="13" t="s">
        <v>709</v>
      </c>
      <c r="E10" s="13" t="s">
        <v>710</v>
      </c>
      <c r="F10" s="13" t="s">
        <v>569</v>
      </c>
      <c r="G10" s="261">
        <v>0.2</v>
      </c>
      <c r="H10" s="196" t="s">
        <v>713</v>
      </c>
      <c r="I10" t="s">
        <v>714</v>
      </c>
    </row>
    <row r="11" spans="1:14" x14ac:dyDescent="0.25">
      <c r="A11" s="263">
        <v>46171</v>
      </c>
      <c r="B11" s="196">
        <v>5</v>
      </c>
      <c r="C11" s="13">
        <v>70</v>
      </c>
      <c r="D11" s="13" t="s">
        <v>715</v>
      </c>
      <c r="E11" s="13" t="s">
        <v>710</v>
      </c>
      <c r="F11" s="13" t="s">
        <v>576</v>
      </c>
      <c r="G11" s="261">
        <v>0.5</v>
      </c>
      <c r="H11" s="196" t="s">
        <v>716</v>
      </c>
      <c r="I11" t="s">
        <v>717</v>
      </c>
    </row>
    <row r="12" spans="1:14" x14ac:dyDescent="0.25">
      <c r="A12" s="263">
        <v>46172</v>
      </c>
      <c r="B12" s="196">
        <v>6</v>
      </c>
      <c r="C12" s="13">
        <v>60</v>
      </c>
      <c r="D12" s="13" t="s">
        <v>718</v>
      </c>
      <c r="E12" s="13" t="s">
        <v>601</v>
      </c>
      <c r="F12" s="13" t="s">
        <v>601</v>
      </c>
      <c r="G12" s="261">
        <v>0.6</v>
      </c>
      <c r="H12" s="196" t="s">
        <v>719</v>
      </c>
      <c r="I12" t="s">
        <v>720</v>
      </c>
    </row>
    <row r="13" spans="1:14" x14ac:dyDescent="0.25">
      <c r="A13" s="263">
        <v>46172</v>
      </c>
      <c r="B13" s="196">
        <v>7</v>
      </c>
      <c r="C13" s="13">
        <v>60</v>
      </c>
      <c r="D13" s="13" t="s">
        <v>718</v>
      </c>
      <c r="E13" s="13" t="s">
        <v>601</v>
      </c>
      <c r="F13" s="13" t="s">
        <v>601</v>
      </c>
      <c r="G13" s="261">
        <v>0.4</v>
      </c>
      <c r="H13" s="196" t="s">
        <v>721</v>
      </c>
      <c r="I13" t="s">
        <v>722</v>
      </c>
    </row>
    <row r="14" spans="1:14" x14ac:dyDescent="0.25">
      <c r="A14" s="263">
        <v>46174</v>
      </c>
      <c r="B14" s="196">
        <v>8</v>
      </c>
      <c r="C14" s="13">
        <v>70</v>
      </c>
      <c r="D14" s="13" t="s">
        <v>723</v>
      </c>
      <c r="E14" s="13" t="s">
        <v>601</v>
      </c>
      <c r="F14" s="13" t="s">
        <v>601</v>
      </c>
      <c r="G14" s="261">
        <v>0.5</v>
      </c>
      <c r="H14" s="196" t="s">
        <v>724</v>
      </c>
      <c r="I14" t="s">
        <v>725</v>
      </c>
    </row>
    <row r="15" spans="1:14" x14ac:dyDescent="0.25">
      <c r="A15" s="263">
        <v>46175</v>
      </c>
      <c r="B15" s="196">
        <v>9</v>
      </c>
      <c r="C15" s="13">
        <v>80</v>
      </c>
      <c r="D15" s="13" t="s">
        <v>726</v>
      </c>
      <c r="E15" s="146" t="s">
        <v>576</v>
      </c>
      <c r="F15" s="13" t="s">
        <v>576</v>
      </c>
      <c r="G15" s="261">
        <v>0.8</v>
      </c>
      <c r="H15" s="196" t="s">
        <v>727</v>
      </c>
      <c r="I15" t="s">
        <v>728</v>
      </c>
    </row>
    <row r="16" spans="1:14" x14ac:dyDescent="0.25">
      <c r="A16" s="263">
        <v>46176</v>
      </c>
      <c r="B16" s="196">
        <v>10</v>
      </c>
      <c r="C16" s="13">
        <v>80</v>
      </c>
      <c r="D16" s="13" t="s">
        <v>729</v>
      </c>
      <c r="E16" s="13" t="s">
        <v>576</v>
      </c>
      <c r="F16" s="13" t="s">
        <v>576</v>
      </c>
      <c r="G16" s="261">
        <v>0.7</v>
      </c>
      <c r="H16" s="196" t="s">
        <v>730</v>
      </c>
      <c r="I16" t="s">
        <v>731</v>
      </c>
    </row>
    <row r="17" spans="1:9" x14ac:dyDescent="0.25">
      <c r="A17" s="263">
        <v>46176</v>
      </c>
      <c r="B17" s="196">
        <v>11</v>
      </c>
      <c r="C17" s="13">
        <v>50</v>
      </c>
      <c r="D17" s="13" t="s">
        <v>732</v>
      </c>
      <c r="E17" s="13" t="s">
        <v>576</v>
      </c>
      <c r="F17" s="13" t="s">
        <v>576</v>
      </c>
      <c r="G17" s="261">
        <v>0.4</v>
      </c>
      <c r="H17" s="196" t="s">
        <v>733</v>
      </c>
      <c r="I17" t="s">
        <v>734</v>
      </c>
    </row>
    <row r="18" spans="1:9" x14ac:dyDescent="0.25">
      <c r="A18" s="263">
        <v>46177</v>
      </c>
      <c r="B18" s="196">
        <v>12</v>
      </c>
      <c r="C18" s="13">
        <v>10</v>
      </c>
      <c r="D18" s="13" t="s">
        <v>735</v>
      </c>
      <c r="E18" s="13" t="s">
        <v>569</v>
      </c>
      <c r="F18" s="13" t="s">
        <v>569</v>
      </c>
      <c r="G18" s="261">
        <v>0.3</v>
      </c>
      <c r="H18" s="196" t="s">
        <v>736</v>
      </c>
      <c r="I18" t="s">
        <v>737</v>
      </c>
    </row>
    <row r="19" spans="1:9" x14ac:dyDescent="0.25">
      <c r="A19" s="263">
        <v>46178</v>
      </c>
      <c r="B19" s="196">
        <v>13</v>
      </c>
      <c r="C19" s="13">
        <v>10</v>
      </c>
      <c r="D19" s="13" t="s">
        <v>738</v>
      </c>
      <c r="E19" s="13" t="s">
        <v>569</v>
      </c>
      <c r="F19" s="13" t="s">
        <v>569</v>
      </c>
      <c r="G19" s="261">
        <v>0.4</v>
      </c>
      <c r="H19" s="196" t="s">
        <v>739</v>
      </c>
      <c r="I19" t="s">
        <v>740</v>
      </c>
    </row>
    <row r="20" spans="1:9" x14ac:dyDescent="0.25">
      <c r="A20" s="263">
        <v>46179</v>
      </c>
      <c r="B20" s="196">
        <v>14</v>
      </c>
      <c r="C20" s="13">
        <v>60</v>
      </c>
      <c r="D20" s="13" t="s">
        <v>741</v>
      </c>
      <c r="E20" s="13" t="s">
        <v>601</v>
      </c>
      <c r="F20" s="13" t="s">
        <v>569</v>
      </c>
      <c r="G20" s="261">
        <v>0.6</v>
      </c>
      <c r="H20" s="196" t="s">
        <v>742</v>
      </c>
      <c r="I20" t="s">
        <v>743</v>
      </c>
    </row>
    <row r="21" spans="1:9" x14ac:dyDescent="0.25">
      <c r="A21" s="263">
        <v>46181</v>
      </c>
      <c r="B21" s="196">
        <v>15</v>
      </c>
      <c r="C21" s="13">
        <v>60</v>
      </c>
      <c r="D21" s="13" t="s">
        <v>744</v>
      </c>
      <c r="E21" s="13" t="s">
        <v>596</v>
      </c>
      <c r="F21" s="13" t="s">
        <v>745</v>
      </c>
      <c r="G21" s="261">
        <v>0</v>
      </c>
      <c r="H21" s="196" t="s">
        <v>746</v>
      </c>
      <c r="I21" t="s">
        <v>747</v>
      </c>
    </row>
    <row r="22" spans="1:9" x14ac:dyDescent="0.25">
      <c r="A22" s="263">
        <v>46181</v>
      </c>
      <c r="B22" s="196">
        <v>16</v>
      </c>
      <c r="C22" s="13">
        <v>80</v>
      </c>
      <c r="D22" s="13" t="s">
        <v>748</v>
      </c>
      <c r="E22" s="13" t="s">
        <v>576</v>
      </c>
      <c r="F22" s="13" t="s">
        <v>745</v>
      </c>
      <c r="G22" s="261">
        <v>0</v>
      </c>
      <c r="H22" s="196" t="s">
        <v>749</v>
      </c>
      <c r="I22" t="s">
        <v>750</v>
      </c>
    </row>
    <row r="23" spans="1:9" x14ac:dyDescent="0.25">
      <c r="A23" s="207"/>
      <c r="B23" s="196"/>
      <c r="C23" s="13"/>
      <c r="D23" s="13"/>
      <c r="E23" s="13"/>
      <c r="F23" s="13"/>
      <c r="H23" s="196"/>
    </row>
    <row r="24" spans="1:9" x14ac:dyDescent="0.25">
      <c r="A24" s="207"/>
      <c r="B24" s="196"/>
      <c r="C24" s="13"/>
      <c r="D24" s="13"/>
      <c r="E24" s="13"/>
      <c r="F24" s="13"/>
      <c r="H24" s="196"/>
    </row>
    <row r="25" spans="1:9" x14ac:dyDescent="0.25">
      <c r="A25" s="207"/>
      <c r="B25" s="196"/>
      <c r="C25" s="13"/>
      <c r="D25" s="13"/>
      <c r="E25" s="13"/>
      <c r="F25" s="13"/>
      <c r="H25" s="196"/>
    </row>
    <row r="26" spans="1:9" x14ac:dyDescent="0.25">
      <c r="A26" s="207"/>
      <c r="B26" s="196"/>
      <c r="C26" s="13"/>
      <c r="D26" s="13"/>
      <c r="E26" s="13"/>
      <c r="F26" s="13"/>
      <c r="H26" s="196"/>
    </row>
    <row r="27" spans="1:9" x14ac:dyDescent="0.25">
      <c r="A27" s="207"/>
      <c r="B27" s="196"/>
      <c r="C27" s="13"/>
      <c r="D27" s="13"/>
      <c r="E27" s="13"/>
      <c r="F27" s="13"/>
      <c r="H27" s="196"/>
    </row>
    <row r="28" spans="1:9" x14ac:dyDescent="0.25">
      <c r="A28" s="207"/>
      <c r="B28" s="196"/>
      <c r="C28" s="13"/>
      <c r="D28" s="13"/>
      <c r="E28" s="13"/>
      <c r="F28" s="13"/>
      <c r="H28" s="196"/>
    </row>
    <row r="29" spans="1:9" x14ac:dyDescent="0.25">
      <c r="A29" s="207"/>
      <c r="B29" s="196"/>
      <c r="C29" s="13"/>
      <c r="D29" s="13"/>
      <c r="E29" s="13"/>
      <c r="F29" s="13"/>
      <c r="H29" s="196"/>
    </row>
    <row r="30" spans="1:9" x14ac:dyDescent="0.25">
      <c r="A30" s="207"/>
      <c r="B30" s="196"/>
      <c r="C30" s="13"/>
      <c r="D30" s="13"/>
      <c r="E30" s="13"/>
      <c r="F30" s="13"/>
      <c r="H30" s="196"/>
    </row>
    <row r="31" spans="1:9" x14ac:dyDescent="0.25">
      <c r="A31" s="207"/>
      <c r="B31" s="196"/>
      <c r="C31" s="13"/>
      <c r="D31" s="13"/>
      <c r="E31" s="13"/>
      <c r="F31" s="13"/>
      <c r="H31" s="196"/>
    </row>
    <row r="32" spans="1:9" x14ac:dyDescent="0.25">
      <c r="A32" s="207"/>
      <c r="B32" s="196"/>
      <c r="C32" s="13"/>
      <c r="D32" s="13"/>
      <c r="E32" s="13"/>
      <c r="F32" s="13"/>
      <c r="H32" s="196"/>
    </row>
    <row r="33" spans="1:8" x14ac:dyDescent="0.25">
      <c r="A33" s="207"/>
      <c r="B33" s="196"/>
      <c r="C33" s="13"/>
      <c r="D33" s="13"/>
      <c r="E33" s="13"/>
      <c r="F33" s="13"/>
      <c r="H33" s="196"/>
    </row>
    <row r="34" spans="1:8" x14ac:dyDescent="0.25">
      <c r="A34" s="207"/>
      <c r="B34" s="196"/>
      <c r="C34" s="13"/>
      <c r="D34" s="13"/>
      <c r="E34" s="13"/>
      <c r="F34" s="13"/>
      <c r="H34" s="196"/>
    </row>
    <row r="35" spans="1:8" x14ac:dyDescent="0.25">
      <c r="A35" s="207"/>
      <c r="B35" s="196"/>
      <c r="C35" s="13"/>
      <c r="D35" s="13"/>
      <c r="E35" s="13"/>
      <c r="F35" s="13"/>
      <c r="H35" s="196"/>
    </row>
    <row r="36" spans="1:8" x14ac:dyDescent="0.25">
      <c r="A36" s="207"/>
      <c r="B36" s="196"/>
      <c r="C36" s="13"/>
      <c r="D36" s="13"/>
      <c r="E36" s="13"/>
      <c r="F36" s="13"/>
      <c r="H36" s="196"/>
    </row>
    <row r="37" spans="1:8" x14ac:dyDescent="0.25">
      <c r="A37" s="207"/>
      <c r="B37" s="196"/>
      <c r="C37" s="13"/>
      <c r="D37" s="13"/>
      <c r="E37" s="13"/>
      <c r="F37" s="13"/>
      <c r="H37" s="196"/>
    </row>
    <row r="38" spans="1:8" x14ac:dyDescent="0.25">
      <c r="A38" s="207"/>
      <c r="B38" s="196"/>
      <c r="C38" s="13"/>
      <c r="D38" s="13"/>
      <c r="E38" s="13"/>
      <c r="F38" s="13"/>
      <c r="H38" s="196"/>
    </row>
    <row r="39" spans="1:8" x14ac:dyDescent="0.25">
      <c r="A39" s="207"/>
      <c r="B39" s="196"/>
      <c r="C39" s="13"/>
      <c r="D39" s="13"/>
      <c r="E39" s="13"/>
      <c r="F39" s="13"/>
      <c r="H39" s="196"/>
    </row>
    <row r="40" spans="1:8" x14ac:dyDescent="0.25">
      <c r="A40" s="207"/>
      <c r="B40" s="196"/>
      <c r="C40" s="13"/>
      <c r="D40" s="13"/>
      <c r="E40" s="13"/>
      <c r="F40" s="13"/>
      <c r="H40" s="196"/>
    </row>
    <row r="41" spans="1:8" x14ac:dyDescent="0.25">
      <c r="A41" s="207"/>
      <c r="B41" s="196"/>
      <c r="C41" s="13"/>
      <c r="D41" s="13"/>
      <c r="E41" s="13"/>
      <c r="F41" s="13"/>
      <c r="H41" s="196"/>
    </row>
    <row r="42" spans="1:8" x14ac:dyDescent="0.25">
      <c r="A42" s="207"/>
      <c r="B42" s="196"/>
      <c r="C42" s="13"/>
      <c r="D42" s="13"/>
      <c r="E42" s="13"/>
      <c r="F42" s="13"/>
      <c r="H42" s="196"/>
    </row>
    <row r="43" spans="1:8" x14ac:dyDescent="0.25">
      <c r="A43" s="207"/>
      <c r="B43" s="196"/>
      <c r="C43" s="13"/>
      <c r="D43" s="13"/>
      <c r="E43" s="13"/>
      <c r="F43" s="13"/>
      <c r="H43" s="196"/>
    </row>
    <row r="44" spans="1:8" x14ac:dyDescent="0.25">
      <c r="A44" s="207"/>
      <c r="B44" s="196"/>
      <c r="C44" s="13"/>
      <c r="D44" s="13"/>
      <c r="E44" s="13"/>
      <c r="F44" s="13"/>
      <c r="H44" s="196"/>
    </row>
    <row r="45" spans="1:8" x14ac:dyDescent="0.25">
      <c r="A45" s="207"/>
      <c r="B45" s="196"/>
      <c r="C45" s="13"/>
      <c r="D45" s="13"/>
      <c r="E45" s="13"/>
      <c r="F45" s="13"/>
      <c r="H45" s="196"/>
    </row>
    <row r="46" spans="1:8" x14ac:dyDescent="0.25">
      <c r="A46" s="207"/>
      <c r="B46" s="196"/>
      <c r="C46" s="13"/>
      <c r="D46" s="13"/>
      <c r="E46" s="13"/>
      <c r="F46" s="13"/>
      <c r="H46" s="196"/>
    </row>
    <row r="47" spans="1:8" x14ac:dyDescent="0.25">
      <c r="A47" s="207"/>
      <c r="B47" s="196"/>
      <c r="C47" s="13"/>
      <c r="D47" s="13"/>
      <c r="E47" s="13"/>
      <c r="F47" s="13"/>
      <c r="H47" s="196"/>
    </row>
    <row r="48" spans="1:8" x14ac:dyDescent="0.25">
      <c r="A48" s="207"/>
      <c r="B48" s="196"/>
      <c r="C48" s="13"/>
      <c r="D48" s="13"/>
      <c r="E48" s="13"/>
      <c r="F48" s="13"/>
      <c r="H48" s="196"/>
    </row>
    <row r="49" spans="1:9" x14ac:dyDescent="0.25">
      <c r="A49" s="207"/>
      <c r="B49" s="196"/>
      <c r="C49" s="13"/>
      <c r="D49" s="13"/>
      <c r="E49" s="13"/>
      <c r="F49" s="13"/>
      <c r="H49" s="196"/>
    </row>
    <row r="50" spans="1:9" x14ac:dyDescent="0.25">
      <c r="A50" s="207"/>
      <c r="B50" s="196"/>
      <c r="C50" s="13"/>
      <c r="D50" s="13"/>
      <c r="E50" s="13"/>
      <c r="F50" s="13"/>
      <c r="H50" s="196"/>
    </row>
    <row r="51" spans="1:9" x14ac:dyDescent="0.25">
      <c r="A51" s="207"/>
      <c r="B51" s="196"/>
      <c r="C51" s="13"/>
      <c r="D51" s="13"/>
      <c r="E51" s="13"/>
      <c r="F51" s="13"/>
      <c r="H51" s="196"/>
    </row>
    <row r="52" spans="1:9" x14ac:dyDescent="0.25">
      <c r="A52" s="207"/>
      <c r="B52" s="196"/>
      <c r="C52" s="13"/>
      <c r="D52" s="13"/>
      <c r="E52" s="13"/>
      <c r="F52" s="13"/>
      <c r="H52" s="196"/>
    </row>
    <row r="53" spans="1:9" x14ac:dyDescent="0.25">
      <c r="A53" s="207"/>
      <c r="B53" s="196"/>
      <c r="C53" s="13"/>
      <c r="D53" s="13"/>
      <c r="E53" s="13"/>
      <c r="F53" s="13"/>
      <c r="H53" s="196"/>
    </row>
    <row r="54" spans="1:9" x14ac:dyDescent="0.25">
      <c r="A54" s="207"/>
      <c r="B54" s="196"/>
      <c r="C54" s="13"/>
      <c r="D54" s="13"/>
      <c r="E54" s="13"/>
      <c r="F54" s="13"/>
      <c r="H54" s="196"/>
    </row>
    <row r="55" spans="1:9" x14ac:dyDescent="0.25">
      <c r="A55" s="207"/>
      <c r="B55" s="196"/>
      <c r="C55" s="13"/>
      <c r="D55" s="13"/>
      <c r="E55" s="13"/>
      <c r="F55" s="13"/>
      <c r="H55" s="196"/>
    </row>
    <row r="56" spans="1:9" x14ac:dyDescent="0.25">
      <c r="A56" s="207"/>
      <c r="B56" s="196"/>
      <c r="C56" s="13"/>
      <c r="D56" s="13"/>
      <c r="E56" s="13"/>
      <c r="F56" s="13"/>
      <c r="H56" s="196"/>
    </row>
    <row r="57" spans="1:9" x14ac:dyDescent="0.25">
      <c r="A57" s="207"/>
      <c r="B57" s="196"/>
      <c r="C57" s="13"/>
      <c r="D57" s="13"/>
      <c r="E57" s="13"/>
      <c r="F57" s="13"/>
      <c r="H57" s="196"/>
    </row>
    <row r="58" spans="1:9" x14ac:dyDescent="0.25">
      <c r="A58" s="207"/>
      <c r="B58" s="196"/>
      <c r="C58" s="13"/>
      <c r="D58" s="13"/>
      <c r="E58" s="13"/>
      <c r="F58" s="13"/>
      <c r="H58" s="196"/>
    </row>
    <row r="59" spans="1:9" x14ac:dyDescent="0.25">
      <c r="A59" s="207"/>
      <c r="B59" s="196"/>
      <c r="C59" s="13"/>
      <c r="D59" s="13"/>
      <c r="E59" s="13"/>
      <c r="F59" s="13"/>
      <c r="H59" s="196"/>
    </row>
    <row r="60" spans="1:9" x14ac:dyDescent="0.25">
      <c r="A60" s="207"/>
      <c r="B60" s="196"/>
      <c r="C60" s="13"/>
      <c r="D60" s="13"/>
      <c r="E60" s="13"/>
      <c r="F60" s="13"/>
      <c r="H60" s="196"/>
    </row>
    <row r="61" spans="1:9" x14ac:dyDescent="0.25">
      <c r="A61" s="207"/>
      <c r="B61" s="196"/>
      <c r="C61" s="13"/>
      <c r="D61" s="13"/>
      <c r="E61" s="13"/>
      <c r="F61" s="13"/>
      <c r="H61" s="196"/>
    </row>
    <row r="62" spans="1:9" x14ac:dyDescent="0.25">
      <c r="A62" s="207"/>
      <c r="B62" s="196"/>
      <c r="C62" s="13"/>
      <c r="D62" s="13"/>
      <c r="E62" s="13"/>
      <c r="F62" s="13"/>
      <c r="H62" s="196"/>
    </row>
    <row r="63" spans="1:9" x14ac:dyDescent="0.25">
      <c r="A63" s="207"/>
      <c r="B63" s="196"/>
      <c r="C63" s="13"/>
      <c r="D63" s="13"/>
      <c r="E63" s="13"/>
      <c r="F63" s="13"/>
      <c r="H63" s="196"/>
      <c r="I63" s="202"/>
    </row>
    <row r="64" spans="1:9" x14ac:dyDescent="0.25">
      <c r="A64" s="207"/>
      <c r="B64" s="196"/>
      <c r="C64" s="13"/>
      <c r="D64" s="13"/>
      <c r="E64" s="13"/>
      <c r="F64" s="13"/>
      <c r="H64" s="196"/>
    </row>
    <row r="65" spans="1:8" x14ac:dyDescent="0.25">
      <c r="A65" s="207"/>
      <c r="B65" s="196"/>
      <c r="C65" s="13"/>
      <c r="D65" s="13"/>
      <c r="E65" s="13"/>
      <c r="F65" s="13"/>
      <c r="H65" s="196"/>
    </row>
    <row r="66" spans="1:8" x14ac:dyDescent="0.25">
      <c r="A66" s="207"/>
      <c r="B66" s="196"/>
      <c r="C66" s="13"/>
      <c r="D66" s="13"/>
      <c r="E66" s="13"/>
      <c r="F66" s="13"/>
      <c r="H66" s="196"/>
    </row>
    <row r="67" spans="1:8" x14ac:dyDescent="0.25">
      <c r="A67" s="207"/>
      <c r="B67" s="196"/>
      <c r="C67" s="13"/>
      <c r="D67" s="13"/>
      <c r="E67" s="13"/>
      <c r="F67" s="13"/>
      <c r="H67" s="196"/>
    </row>
    <row r="68" spans="1:8" x14ac:dyDescent="0.25">
      <c r="A68" s="207"/>
      <c r="B68" s="196"/>
      <c r="C68" s="13"/>
      <c r="D68" s="13"/>
      <c r="E68" s="13"/>
      <c r="F68" s="13"/>
      <c r="H68" s="196"/>
    </row>
    <row r="69" spans="1:8" x14ac:dyDescent="0.25">
      <c r="A69" s="207"/>
      <c r="B69" s="196"/>
      <c r="C69" s="13"/>
      <c r="D69" s="13"/>
      <c r="E69" s="13"/>
      <c r="F69" s="13"/>
      <c r="H69" s="196"/>
    </row>
    <row r="70" spans="1:8" x14ac:dyDescent="0.25">
      <c r="A70" s="207"/>
      <c r="B70" s="196"/>
      <c r="C70" s="13"/>
      <c r="D70" s="13"/>
      <c r="E70" s="13"/>
      <c r="F70" s="13"/>
      <c r="H70" s="196"/>
    </row>
    <row r="71" spans="1:8" x14ac:dyDescent="0.25">
      <c r="A71" s="207"/>
      <c r="B71" s="196"/>
      <c r="C71" s="13"/>
      <c r="D71" s="13"/>
      <c r="E71" s="13"/>
      <c r="F71" s="13"/>
      <c r="H71" s="196"/>
    </row>
    <row r="72" spans="1:8" x14ac:dyDescent="0.25">
      <c r="A72" s="207"/>
      <c r="B72" s="196"/>
      <c r="C72" s="13"/>
      <c r="D72" s="13"/>
      <c r="E72" s="13"/>
      <c r="F72" s="13"/>
      <c r="H72" s="196"/>
    </row>
    <row r="73" spans="1:8" x14ac:dyDescent="0.25">
      <c r="A73" s="207"/>
      <c r="B73" s="196"/>
      <c r="C73" s="13"/>
      <c r="D73" s="13"/>
      <c r="E73" s="13"/>
      <c r="F73" s="13"/>
      <c r="H73" s="196"/>
    </row>
    <row r="74" spans="1:8" x14ac:dyDescent="0.25">
      <c r="A74" s="207"/>
      <c r="B74" s="196"/>
      <c r="C74" s="13"/>
      <c r="D74" s="13"/>
      <c r="E74" s="13"/>
      <c r="F74" s="13"/>
      <c r="H74" s="196"/>
    </row>
    <row r="75" spans="1:8" x14ac:dyDescent="0.25">
      <c r="A75" s="207"/>
      <c r="B75" s="196"/>
      <c r="C75" s="13"/>
      <c r="D75" s="13"/>
      <c r="E75" s="13"/>
      <c r="F75" s="13"/>
      <c r="H75" s="196"/>
    </row>
    <row r="76" spans="1:8" x14ac:dyDescent="0.25">
      <c r="A76" s="207"/>
      <c r="B76" s="196"/>
      <c r="C76" s="13"/>
      <c r="D76" s="13"/>
      <c r="E76" s="13"/>
      <c r="F76" s="13"/>
      <c r="H76" s="196"/>
    </row>
    <row r="77" spans="1:8" x14ac:dyDescent="0.25">
      <c r="A77" s="207"/>
      <c r="B77" s="196"/>
      <c r="C77" s="13"/>
      <c r="D77" s="13"/>
      <c r="E77" s="13"/>
      <c r="F77" s="13"/>
      <c r="H77" s="196"/>
    </row>
    <row r="78" spans="1:8" x14ac:dyDescent="0.25">
      <c r="A78" s="207"/>
      <c r="B78" s="196"/>
      <c r="C78" s="13"/>
      <c r="D78" s="13"/>
      <c r="E78" s="13"/>
      <c r="F78" s="13"/>
      <c r="H78" s="196"/>
    </row>
    <row r="79" spans="1:8" x14ac:dyDescent="0.25">
      <c r="A79" s="207"/>
      <c r="B79" s="196"/>
      <c r="C79" s="13"/>
      <c r="D79" s="13"/>
      <c r="E79" s="13"/>
      <c r="F79" s="13"/>
      <c r="H79" s="196"/>
    </row>
    <row r="80" spans="1:8" x14ac:dyDescent="0.25">
      <c r="A80" s="207"/>
      <c r="B80" s="196"/>
      <c r="C80" s="13"/>
      <c r="D80" s="13"/>
      <c r="E80" s="13"/>
      <c r="F80" s="13"/>
      <c r="H80" s="196"/>
    </row>
    <row r="81" spans="1:8" x14ac:dyDescent="0.25">
      <c r="A81" s="207"/>
      <c r="B81" s="196"/>
      <c r="C81" s="13"/>
      <c r="D81" s="13"/>
      <c r="E81" s="13"/>
      <c r="F81" s="13"/>
      <c r="H81" s="196"/>
    </row>
    <row r="82" spans="1:8" x14ac:dyDescent="0.25">
      <c r="A82" s="207"/>
      <c r="B82" s="196"/>
      <c r="C82" s="13"/>
      <c r="D82" s="13"/>
      <c r="E82" s="13"/>
      <c r="F82" s="13"/>
      <c r="H82" s="196"/>
    </row>
    <row r="83" spans="1:8" x14ac:dyDescent="0.25">
      <c r="A83" s="207"/>
      <c r="B83" s="196"/>
      <c r="C83" s="13"/>
      <c r="D83" s="13"/>
      <c r="E83" s="13"/>
      <c r="F83" s="13"/>
      <c r="H83" s="196"/>
    </row>
    <row r="84" spans="1:8" x14ac:dyDescent="0.25">
      <c r="A84" s="207"/>
      <c r="B84" s="196"/>
      <c r="C84" s="13"/>
      <c r="D84" s="13"/>
      <c r="E84" s="13"/>
      <c r="F84" s="13"/>
      <c r="H84" s="196"/>
    </row>
    <row r="85" spans="1:8" x14ac:dyDescent="0.25">
      <c r="A85" s="207"/>
      <c r="B85" s="196"/>
      <c r="C85" s="13"/>
      <c r="D85" s="13"/>
      <c r="E85" s="13"/>
      <c r="F85" s="13"/>
      <c r="H85" s="196"/>
    </row>
    <row r="86" spans="1:8" x14ac:dyDescent="0.25">
      <c r="A86" s="207"/>
      <c r="B86" s="196"/>
      <c r="C86" s="13"/>
      <c r="D86" s="13"/>
      <c r="E86" s="13"/>
      <c r="F86" s="13"/>
      <c r="H86" s="196"/>
    </row>
    <row r="87" spans="1:8" x14ac:dyDescent="0.25">
      <c r="A87" s="207"/>
      <c r="B87" s="196"/>
      <c r="C87" s="13"/>
      <c r="D87" s="13"/>
      <c r="E87" s="13"/>
      <c r="F87" s="13"/>
      <c r="H87" s="196"/>
    </row>
    <row r="88" spans="1:8" x14ac:dyDescent="0.25">
      <c r="A88" s="207"/>
      <c r="B88" s="196"/>
      <c r="C88" s="13"/>
      <c r="D88" s="13"/>
      <c r="E88" s="13"/>
      <c r="F88" s="13"/>
      <c r="H88" s="196"/>
    </row>
    <row r="89" spans="1:8" x14ac:dyDescent="0.25">
      <c r="A89" s="207"/>
      <c r="B89" s="196"/>
      <c r="C89" s="13"/>
      <c r="D89" s="13"/>
      <c r="E89" s="13"/>
      <c r="F89" s="13"/>
      <c r="H89" s="196"/>
    </row>
    <row r="90" spans="1:8" x14ac:dyDescent="0.25">
      <c r="A90" s="207"/>
      <c r="B90" s="196"/>
      <c r="C90" s="13"/>
      <c r="D90" s="13"/>
      <c r="E90" s="13"/>
      <c r="F90" s="13"/>
      <c r="H90" s="196"/>
    </row>
    <row r="91" spans="1:8" x14ac:dyDescent="0.25">
      <c r="A91" s="207"/>
      <c r="B91" s="196"/>
      <c r="C91" s="13"/>
      <c r="D91" s="13"/>
      <c r="E91" s="13"/>
      <c r="F91" s="13"/>
      <c r="H91" s="196"/>
    </row>
    <row r="92" spans="1:8" x14ac:dyDescent="0.25">
      <c r="A92" s="207"/>
      <c r="B92" s="196"/>
      <c r="C92" s="13"/>
      <c r="D92" s="13"/>
      <c r="E92" s="13"/>
      <c r="F92" s="13"/>
      <c r="H92" s="196"/>
    </row>
    <row r="93" spans="1:8" x14ac:dyDescent="0.25">
      <c r="A93" s="207"/>
      <c r="B93" s="196"/>
      <c r="C93" s="13"/>
      <c r="D93" s="13"/>
      <c r="E93" s="13"/>
      <c r="F93" s="13"/>
      <c r="H93" s="196"/>
    </row>
    <row r="94" spans="1:8" x14ac:dyDescent="0.25">
      <c r="A94" s="207"/>
      <c r="B94" s="196"/>
      <c r="C94" s="13"/>
      <c r="D94" s="13"/>
      <c r="E94" s="13"/>
      <c r="F94" s="13"/>
      <c r="H94" s="196"/>
    </row>
    <row r="95" spans="1:8" x14ac:dyDescent="0.25">
      <c r="A95" s="207"/>
      <c r="B95" s="196"/>
      <c r="C95" s="13"/>
      <c r="D95" s="13"/>
      <c r="E95" s="13"/>
      <c r="F95" s="13"/>
      <c r="H95" s="196"/>
    </row>
    <row r="96" spans="1:8" x14ac:dyDescent="0.25">
      <c r="A96" s="207"/>
      <c r="B96" s="196"/>
      <c r="C96" s="13"/>
      <c r="D96" s="13"/>
      <c r="E96" s="13"/>
      <c r="F96" s="13"/>
      <c r="H96" s="196"/>
    </row>
    <row r="97" spans="1:8" x14ac:dyDescent="0.25">
      <c r="A97" s="207"/>
      <c r="B97" s="196"/>
      <c r="C97" s="13"/>
      <c r="D97" s="13"/>
      <c r="E97" s="13"/>
      <c r="F97" s="13"/>
      <c r="H97" s="196"/>
    </row>
    <row r="98" spans="1:8" x14ac:dyDescent="0.25">
      <c r="A98" s="207"/>
      <c r="B98" s="196"/>
      <c r="C98" s="13"/>
      <c r="D98" s="13"/>
      <c r="E98" s="13"/>
      <c r="F98" s="13"/>
      <c r="H98" s="196"/>
    </row>
    <row r="99" spans="1:8" x14ac:dyDescent="0.25">
      <c r="A99" s="207"/>
      <c r="B99" s="196"/>
      <c r="C99" s="13"/>
      <c r="D99" s="13"/>
      <c r="E99" s="13"/>
      <c r="F99" s="13"/>
      <c r="H99" s="196"/>
    </row>
    <row r="100" spans="1:8" x14ac:dyDescent="0.25">
      <c r="A100" s="207"/>
      <c r="B100" s="196"/>
      <c r="C100" s="13"/>
      <c r="D100" s="13"/>
      <c r="E100" s="13"/>
      <c r="F100" s="13"/>
      <c r="H100" s="196"/>
    </row>
    <row r="101" spans="1:8" x14ac:dyDescent="0.25">
      <c r="A101" s="207"/>
      <c r="B101" s="196"/>
      <c r="C101" s="13"/>
      <c r="D101" s="13"/>
      <c r="E101" s="13"/>
      <c r="F101" s="13"/>
      <c r="H101" s="196"/>
    </row>
    <row r="102" spans="1:8" x14ac:dyDescent="0.25">
      <c r="A102" s="207"/>
      <c r="B102" s="196"/>
      <c r="C102" s="13"/>
      <c r="D102" s="13"/>
      <c r="E102" s="13"/>
      <c r="F102" s="13"/>
      <c r="H102" s="196"/>
    </row>
    <row r="103" spans="1:8" x14ac:dyDescent="0.25">
      <c r="A103" s="207"/>
      <c r="B103" s="196"/>
      <c r="C103" s="13"/>
      <c r="D103" s="13"/>
      <c r="E103" s="13"/>
      <c r="F103" s="13"/>
      <c r="H103" s="196"/>
    </row>
    <row r="104" spans="1:8" x14ac:dyDescent="0.25">
      <c r="A104" s="207"/>
      <c r="B104" s="196"/>
      <c r="C104" s="13"/>
      <c r="D104" s="13"/>
      <c r="E104" s="13"/>
      <c r="F104" s="13"/>
      <c r="H104" s="196"/>
    </row>
    <row r="105" spans="1:8" x14ac:dyDescent="0.25">
      <c r="A105" s="207"/>
      <c r="B105" s="196"/>
      <c r="C105" s="13"/>
      <c r="D105" s="13"/>
      <c r="E105" s="13"/>
      <c r="F105" s="13"/>
    </row>
    <row r="106" spans="1:8" x14ac:dyDescent="0.25">
      <c r="A106" s="207"/>
      <c r="B106" s="196"/>
      <c r="C106" s="13"/>
      <c r="D106" s="13"/>
      <c r="E106" s="13"/>
      <c r="F106" s="13"/>
    </row>
    <row r="107" spans="1:8" x14ac:dyDescent="0.25">
      <c r="A107" s="207"/>
      <c r="B107" s="196"/>
      <c r="C107" s="13"/>
      <c r="D107" s="13"/>
      <c r="E107" s="13"/>
      <c r="F107" s="13"/>
    </row>
    <row r="108" spans="1:8" x14ac:dyDescent="0.25">
      <c r="A108" s="207"/>
      <c r="B108" s="196"/>
      <c r="C108" s="13"/>
      <c r="D108" s="13"/>
      <c r="E108" s="13"/>
      <c r="F108" s="13"/>
    </row>
    <row r="109" spans="1:8" x14ac:dyDescent="0.25">
      <c r="A109" s="207"/>
      <c r="B109" s="196"/>
      <c r="C109" s="13"/>
      <c r="D109" s="13"/>
      <c r="E109" s="13"/>
      <c r="F109" s="13"/>
    </row>
    <row r="110" spans="1:8" x14ac:dyDescent="0.25">
      <c r="A110" s="207"/>
      <c r="B110" s="196"/>
      <c r="C110" s="13"/>
      <c r="D110" s="13"/>
      <c r="E110" s="13"/>
      <c r="F110" s="13"/>
    </row>
    <row r="111" spans="1:8" x14ac:dyDescent="0.25">
      <c r="A111" s="207"/>
      <c r="B111" s="196"/>
      <c r="C111" s="13"/>
      <c r="D111" s="13"/>
      <c r="E111" s="13"/>
      <c r="F111" s="13"/>
    </row>
    <row r="112" spans="1:8" x14ac:dyDescent="0.25">
      <c r="A112" s="207"/>
      <c r="B112" s="196"/>
      <c r="C112" s="13"/>
      <c r="D112" s="13"/>
      <c r="E112" s="13"/>
      <c r="F112" s="13"/>
    </row>
    <row r="113" spans="1:6" x14ac:dyDescent="0.25">
      <c r="A113" s="207"/>
      <c r="B113" s="196"/>
      <c r="C113" s="13"/>
      <c r="D113" s="13"/>
      <c r="E113" s="13"/>
      <c r="F113" s="13"/>
    </row>
    <row r="114" spans="1:6" x14ac:dyDescent="0.25">
      <c r="A114" s="207"/>
      <c r="B114" s="196"/>
      <c r="C114" s="13"/>
      <c r="D114" s="13"/>
      <c r="E114" s="13"/>
      <c r="F114" s="13"/>
    </row>
    <row r="115" spans="1:6" x14ac:dyDescent="0.25">
      <c r="A115" s="207"/>
      <c r="B115" s="196"/>
      <c r="C115" s="13"/>
      <c r="D115" s="13"/>
      <c r="E115" s="13"/>
      <c r="F115" s="13"/>
    </row>
    <row r="116" spans="1:6" x14ac:dyDescent="0.25">
      <c r="A116" s="207"/>
      <c r="B116" s="196"/>
      <c r="C116" s="13"/>
      <c r="D116" s="13"/>
      <c r="E116" s="13"/>
      <c r="F116" s="13"/>
    </row>
    <row r="117" spans="1:6" x14ac:dyDescent="0.25">
      <c r="A117" s="207"/>
      <c r="B117" s="196"/>
      <c r="C117" s="13"/>
      <c r="D117" s="13"/>
      <c r="E117" s="13"/>
      <c r="F117" s="13"/>
    </row>
    <row r="118" spans="1:6" x14ac:dyDescent="0.25">
      <c r="A118" s="207"/>
      <c r="B118" s="196"/>
      <c r="C118" s="13"/>
      <c r="D118" s="13"/>
      <c r="E118" s="13"/>
      <c r="F118" s="13"/>
    </row>
    <row r="119" spans="1:6" x14ac:dyDescent="0.25">
      <c r="A119" s="207"/>
      <c r="B119" s="196"/>
      <c r="C119" s="13"/>
      <c r="D119" s="13"/>
      <c r="E119" s="13"/>
      <c r="F119" s="13"/>
    </row>
    <row r="120" spans="1:6" x14ac:dyDescent="0.25">
      <c r="A120" s="207"/>
      <c r="B120" s="196"/>
      <c r="C120" s="13"/>
      <c r="D120" s="13"/>
      <c r="E120" s="13"/>
      <c r="F120" s="13"/>
    </row>
    <row r="121" spans="1:6" x14ac:dyDescent="0.25">
      <c r="A121" s="207"/>
      <c r="B121" s="196"/>
      <c r="C121" s="13"/>
      <c r="D121" s="13"/>
      <c r="E121" s="13"/>
      <c r="F121" s="13"/>
    </row>
    <row r="122" spans="1:6" x14ac:dyDescent="0.25">
      <c r="A122" s="207"/>
      <c r="B122" s="196"/>
      <c r="C122" s="13"/>
      <c r="D122" s="13"/>
      <c r="E122" s="13"/>
      <c r="F122" s="13"/>
    </row>
    <row r="123" spans="1:6" x14ac:dyDescent="0.25">
      <c r="A123" s="207"/>
      <c r="B123" s="196"/>
      <c r="C123" s="13"/>
      <c r="D123" s="13"/>
      <c r="E123" s="13"/>
      <c r="F123" s="13"/>
    </row>
    <row r="124" spans="1:6" x14ac:dyDescent="0.25">
      <c r="A124" s="207"/>
      <c r="B124" s="196"/>
      <c r="C124" s="13"/>
      <c r="D124" s="13"/>
      <c r="E124" s="13"/>
      <c r="F124" s="13"/>
    </row>
    <row r="125" spans="1:6" x14ac:dyDescent="0.25">
      <c r="A125" s="207"/>
      <c r="B125" s="196"/>
      <c r="C125" s="13"/>
      <c r="D125" s="13"/>
      <c r="E125" s="13"/>
      <c r="F125" s="13"/>
    </row>
    <row r="126" spans="1:6" x14ac:dyDescent="0.25">
      <c r="A126" s="207"/>
      <c r="B126" s="196"/>
      <c r="C126" s="13"/>
      <c r="D126" s="13"/>
      <c r="E126" s="13"/>
      <c r="F126" s="13"/>
    </row>
    <row r="127" spans="1:6" x14ac:dyDescent="0.25">
      <c r="A127" s="207"/>
      <c r="B127" s="196"/>
      <c r="C127" s="13"/>
      <c r="D127" s="13"/>
      <c r="E127" s="13"/>
      <c r="F127" s="13"/>
    </row>
    <row r="128" spans="1:6" x14ac:dyDescent="0.25">
      <c r="A128" s="207"/>
      <c r="B128" s="196"/>
      <c r="C128" s="13"/>
      <c r="D128" s="13"/>
      <c r="E128" s="13"/>
      <c r="F128" s="13"/>
    </row>
    <row r="129" spans="1:6" x14ac:dyDescent="0.25">
      <c r="A129" s="207"/>
      <c r="B129" s="196"/>
      <c r="C129" s="13"/>
      <c r="D129" s="13"/>
      <c r="E129" s="13"/>
      <c r="F129" s="13"/>
    </row>
    <row r="130" spans="1:6" x14ac:dyDescent="0.25">
      <c r="A130" s="207"/>
      <c r="B130" s="196"/>
      <c r="C130" s="13"/>
      <c r="D130" s="13"/>
      <c r="E130" s="13"/>
      <c r="F130" s="13"/>
    </row>
    <row r="131" spans="1:6" x14ac:dyDescent="0.25">
      <c r="A131" s="207"/>
      <c r="B131" s="196"/>
      <c r="C131" s="13"/>
      <c r="D131" s="13"/>
      <c r="E131" s="13"/>
      <c r="F131" s="13"/>
    </row>
    <row r="132" spans="1:6" x14ac:dyDescent="0.25">
      <c r="A132" s="207"/>
      <c r="B132" s="196"/>
      <c r="C132" s="13"/>
      <c r="D132" s="13"/>
      <c r="E132" s="13"/>
      <c r="F132" s="13"/>
    </row>
    <row r="133" spans="1:6" x14ac:dyDescent="0.25">
      <c r="A133" s="207"/>
      <c r="B133" s="196"/>
      <c r="C133" s="13"/>
      <c r="D133" s="13"/>
      <c r="E133" s="13"/>
      <c r="F133" s="13"/>
    </row>
    <row r="134" spans="1:6" x14ac:dyDescent="0.25">
      <c r="A134" s="207"/>
      <c r="B134" s="196"/>
      <c r="C134" s="13"/>
      <c r="D134" s="13"/>
      <c r="E134" s="13"/>
      <c r="F134" s="13"/>
    </row>
    <row r="135" spans="1:6" x14ac:dyDescent="0.25">
      <c r="A135" s="207"/>
      <c r="B135" s="196"/>
      <c r="C135" s="13"/>
      <c r="D135" s="13"/>
      <c r="E135" s="13"/>
      <c r="F135" s="13"/>
    </row>
    <row r="136" spans="1:6" x14ac:dyDescent="0.25">
      <c r="A136" s="207"/>
      <c r="B136" s="196"/>
      <c r="C136" s="13"/>
      <c r="D136" s="13"/>
      <c r="E136" s="13"/>
      <c r="F136" s="13"/>
    </row>
    <row r="137" spans="1:6" x14ac:dyDescent="0.25">
      <c r="A137" s="207"/>
      <c r="B137" s="196"/>
      <c r="C137" s="13"/>
      <c r="D137" s="13"/>
      <c r="E137" s="13"/>
      <c r="F137" s="13"/>
    </row>
    <row r="138" spans="1:6" x14ac:dyDescent="0.25">
      <c r="A138" s="207"/>
      <c r="B138" s="196"/>
      <c r="C138" s="13"/>
      <c r="D138" s="13"/>
      <c r="E138" s="13"/>
      <c r="F138" s="13"/>
    </row>
    <row r="139" spans="1:6" x14ac:dyDescent="0.25">
      <c r="A139" s="207"/>
      <c r="B139" s="196"/>
      <c r="C139" s="13"/>
      <c r="D139" s="13"/>
      <c r="E139" s="13"/>
      <c r="F139" s="13"/>
    </row>
    <row r="140" spans="1:6" x14ac:dyDescent="0.25">
      <c r="A140" s="207"/>
      <c r="B140" s="196"/>
      <c r="C140" s="13"/>
      <c r="D140" s="13"/>
      <c r="E140" s="13"/>
      <c r="F140" s="13"/>
    </row>
    <row r="141" spans="1:6" x14ac:dyDescent="0.25">
      <c r="A141" s="207"/>
      <c r="B141" s="196"/>
      <c r="C141" s="13"/>
      <c r="D141" s="13"/>
      <c r="E141" s="13"/>
      <c r="F141" s="13"/>
    </row>
    <row r="142" spans="1:6" x14ac:dyDescent="0.25">
      <c r="A142" s="207"/>
      <c r="B142" s="196"/>
      <c r="C142" s="13"/>
      <c r="D142" s="13"/>
      <c r="E142" s="13"/>
      <c r="F142" s="13"/>
    </row>
    <row r="143" spans="1:6" x14ac:dyDescent="0.25">
      <c r="A143" s="207"/>
      <c r="B143" s="196"/>
      <c r="C143" s="13"/>
      <c r="D143" s="13"/>
      <c r="E143" s="13"/>
      <c r="F143" s="13"/>
    </row>
    <row r="144" spans="1:6" x14ac:dyDescent="0.25">
      <c r="A144" s="207"/>
      <c r="B144" s="196"/>
      <c r="C144" s="13"/>
      <c r="D144" s="13"/>
      <c r="E144" s="13"/>
      <c r="F144" s="13"/>
    </row>
    <row r="145" spans="1:6" x14ac:dyDescent="0.25">
      <c r="A145" s="207"/>
      <c r="B145" s="196"/>
      <c r="C145" s="13"/>
      <c r="D145" s="13"/>
      <c r="E145" s="13"/>
      <c r="F145" s="13"/>
    </row>
    <row r="146" spans="1:6" x14ac:dyDescent="0.25">
      <c r="A146" s="207"/>
      <c r="B146" s="196"/>
      <c r="C146" s="13"/>
      <c r="D146" s="13"/>
      <c r="E146" s="13"/>
      <c r="F146" s="13"/>
    </row>
    <row r="147" spans="1:6" x14ac:dyDescent="0.25">
      <c r="A147" s="207"/>
      <c r="B147" s="196"/>
      <c r="C147" s="13"/>
      <c r="D147" s="13"/>
      <c r="E147" s="13"/>
      <c r="F147" s="13"/>
    </row>
    <row r="148" spans="1:6" x14ac:dyDescent="0.25">
      <c r="A148" s="207"/>
      <c r="B148" s="196"/>
      <c r="C148" s="13"/>
      <c r="D148" s="13"/>
      <c r="E148" s="13"/>
      <c r="F148" s="13"/>
    </row>
    <row r="149" spans="1:6" x14ac:dyDescent="0.25">
      <c r="A149" s="207"/>
      <c r="B149" s="196"/>
      <c r="C149" s="13"/>
      <c r="D149" s="13"/>
      <c r="E149" s="13"/>
      <c r="F149" s="13"/>
    </row>
    <row r="150" spans="1:6" x14ac:dyDescent="0.25">
      <c r="A150" s="207"/>
      <c r="B150" s="196"/>
      <c r="C150" s="13"/>
      <c r="D150" s="13"/>
      <c r="E150" s="13"/>
      <c r="F150" s="13"/>
    </row>
    <row r="151" spans="1:6" x14ac:dyDescent="0.25">
      <c r="A151" s="207"/>
      <c r="B151" s="196"/>
      <c r="C151" s="13"/>
      <c r="D151" s="13"/>
      <c r="E151" s="13"/>
      <c r="F151" s="13"/>
    </row>
    <row r="152" spans="1:6" x14ac:dyDescent="0.25">
      <c r="A152" s="207"/>
      <c r="B152" s="196"/>
      <c r="C152" s="13"/>
      <c r="D152" s="13"/>
      <c r="E152" s="13"/>
      <c r="F152" s="13"/>
    </row>
    <row r="153" spans="1:6" x14ac:dyDescent="0.25">
      <c r="A153" s="207"/>
      <c r="B153" s="196"/>
      <c r="C153" s="13"/>
      <c r="D153" s="13"/>
      <c r="E153" s="13"/>
      <c r="F153" s="13"/>
    </row>
    <row r="154" spans="1:6" x14ac:dyDescent="0.25">
      <c r="A154" s="207"/>
      <c r="B154" s="196"/>
      <c r="C154" s="13"/>
      <c r="D154" s="13"/>
      <c r="E154" s="13"/>
      <c r="F154" s="13"/>
    </row>
    <row r="155" spans="1:6" x14ac:dyDescent="0.25">
      <c r="A155" s="207"/>
      <c r="B155" s="196"/>
      <c r="C155" s="13"/>
      <c r="D155" s="13"/>
      <c r="E155" s="13"/>
      <c r="F155" s="13"/>
    </row>
    <row r="156" spans="1:6" x14ac:dyDescent="0.25">
      <c r="A156" s="207"/>
      <c r="B156" s="196"/>
      <c r="C156" s="13"/>
      <c r="D156" s="13"/>
      <c r="E156" s="13"/>
      <c r="F156" s="13"/>
    </row>
    <row r="157" spans="1:6" x14ac:dyDescent="0.25">
      <c r="A157" s="207"/>
      <c r="B157" s="196"/>
      <c r="C157" s="13"/>
      <c r="D157" s="13"/>
      <c r="E157" s="13"/>
      <c r="F157" s="13"/>
    </row>
    <row r="158" spans="1:6" x14ac:dyDescent="0.25">
      <c r="A158" s="207"/>
      <c r="B158" s="196"/>
      <c r="C158" s="13"/>
      <c r="D158" s="13"/>
      <c r="E158" s="13"/>
      <c r="F158" s="13"/>
    </row>
    <row r="159" spans="1:6" x14ac:dyDescent="0.25">
      <c r="A159" s="207"/>
      <c r="B159" s="196"/>
      <c r="C159" s="13"/>
      <c r="D159" s="13"/>
      <c r="E159" s="13"/>
      <c r="F159" s="13"/>
    </row>
    <row r="160" spans="1:6" x14ac:dyDescent="0.25">
      <c r="A160" s="207"/>
      <c r="B160" s="196"/>
      <c r="C160" s="13"/>
      <c r="D160" s="13"/>
      <c r="E160" s="13"/>
      <c r="F160" s="13"/>
    </row>
    <row r="161" spans="1:6" x14ac:dyDescent="0.25">
      <c r="A161" s="207"/>
      <c r="B161" s="196"/>
      <c r="C161" s="13"/>
      <c r="D161" s="13"/>
      <c r="E161" s="13"/>
      <c r="F161" s="13"/>
    </row>
    <row r="162" spans="1:6" x14ac:dyDescent="0.25">
      <c r="A162" s="207"/>
      <c r="B162" s="196"/>
      <c r="C162" s="13"/>
      <c r="D162" s="13"/>
      <c r="E162" s="13"/>
      <c r="F162" s="13"/>
    </row>
    <row r="163" spans="1:6" x14ac:dyDescent="0.25">
      <c r="A163" s="207"/>
      <c r="B163" s="196"/>
      <c r="C163" s="13"/>
      <c r="D163" s="13"/>
      <c r="E163" s="13"/>
      <c r="F163" s="13"/>
    </row>
    <row r="164" spans="1:6" x14ac:dyDescent="0.25">
      <c r="A164" s="207"/>
      <c r="B164" s="196"/>
      <c r="C164" s="13"/>
      <c r="D164" s="13"/>
      <c r="E164" s="13"/>
      <c r="F164" s="13"/>
    </row>
    <row r="165" spans="1:6" x14ac:dyDescent="0.25">
      <c r="A165" s="207"/>
      <c r="B165" s="196"/>
      <c r="C165" s="13"/>
      <c r="D165" s="13"/>
      <c r="E165" s="13"/>
      <c r="F165" s="13"/>
    </row>
    <row r="166" spans="1:6" x14ac:dyDescent="0.25">
      <c r="A166" s="207"/>
      <c r="B166" s="196"/>
      <c r="C166" s="13"/>
      <c r="D166" s="13"/>
      <c r="E166" s="13"/>
      <c r="F166" s="13"/>
    </row>
    <row r="167" spans="1:6" x14ac:dyDescent="0.25">
      <c r="A167" s="207"/>
      <c r="B167" s="196"/>
      <c r="C167" s="13"/>
      <c r="D167" s="13"/>
      <c r="E167" s="13"/>
      <c r="F167" s="13"/>
    </row>
    <row r="168" spans="1:6" x14ac:dyDescent="0.25">
      <c r="A168" s="207"/>
      <c r="B168" s="196"/>
      <c r="C168" s="13"/>
      <c r="D168" s="13"/>
      <c r="E168" s="13"/>
      <c r="F168" s="13"/>
    </row>
    <row r="169" spans="1:6" x14ac:dyDescent="0.25">
      <c r="A169" s="207"/>
      <c r="B169" s="196"/>
      <c r="C169" s="13"/>
      <c r="D169" s="13"/>
      <c r="E169" s="13"/>
      <c r="F169" s="13"/>
    </row>
    <row r="170" spans="1:6" x14ac:dyDescent="0.25">
      <c r="A170" s="207"/>
      <c r="B170" s="196"/>
      <c r="C170" s="13"/>
      <c r="D170" s="13"/>
      <c r="E170" s="13"/>
      <c r="F170" s="13"/>
    </row>
    <row r="171" spans="1:6" x14ac:dyDescent="0.25">
      <c r="A171" s="207"/>
      <c r="B171" s="196"/>
      <c r="C171" s="13"/>
      <c r="D171" s="13"/>
      <c r="E171" s="13"/>
      <c r="F171" s="13"/>
    </row>
    <row r="172" spans="1:6" x14ac:dyDescent="0.25">
      <c r="A172" s="207"/>
      <c r="B172" s="196"/>
      <c r="C172" s="13"/>
      <c r="D172" s="13"/>
      <c r="E172" s="13"/>
      <c r="F172" s="13"/>
    </row>
    <row r="173" spans="1:6" x14ac:dyDescent="0.25">
      <c r="A173" s="207"/>
      <c r="B173" s="196"/>
      <c r="C173" s="13"/>
      <c r="D173" s="13"/>
      <c r="E173" s="13"/>
      <c r="F173" s="13"/>
    </row>
    <row r="174" spans="1:6" x14ac:dyDescent="0.25">
      <c r="A174" s="207"/>
      <c r="B174" s="196"/>
      <c r="C174" s="13"/>
      <c r="D174" s="13"/>
      <c r="E174" s="13"/>
      <c r="F174" s="13"/>
    </row>
    <row r="175" spans="1:6" x14ac:dyDescent="0.25">
      <c r="A175" s="207"/>
      <c r="B175" s="196"/>
      <c r="C175" s="13"/>
      <c r="D175" s="13"/>
      <c r="E175" s="13"/>
      <c r="F175" s="13"/>
    </row>
    <row r="176" spans="1:6" x14ac:dyDescent="0.25">
      <c r="A176" s="207"/>
      <c r="B176" s="196"/>
      <c r="C176" s="13"/>
      <c r="D176" s="13"/>
      <c r="E176" s="13"/>
      <c r="F176" s="13"/>
    </row>
    <row r="177" spans="1:6" x14ac:dyDescent="0.25">
      <c r="A177" s="207"/>
      <c r="B177" s="196"/>
      <c r="C177" s="13"/>
      <c r="D177" s="13"/>
      <c r="E177" s="13"/>
      <c r="F177" s="13"/>
    </row>
    <row r="178" spans="1:6" x14ac:dyDescent="0.25">
      <c r="A178" s="207"/>
      <c r="B178" s="196"/>
      <c r="C178" s="13"/>
      <c r="D178" s="13"/>
      <c r="E178" s="13"/>
      <c r="F178" s="13"/>
    </row>
    <row r="179" spans="1:6" x14ac:dyDescent="0.25">
      <c r="A179" s="207"/>
      <c r="B179" s="196"/>
      <c r="C179" s="13"/>
      <c r="D179" s="13"/>
      <c r="E179" s="13"/>
      <c r="F179" s="13"/>
    </row>
    <row r="180" spans="1:6" x14ac:dyDescent="0.25">
      <c r="A180" s="207"/>
      <c r="B180" s="196"/>
      <c r="C180" s="13"/>
      <c r="D180" s="13"/>
      <c r="E180" s="13"/>
      <c r="F180" s="13"/>
    </row>
    <row r="181" spans="1:6" x14ac:dyDescent="0.25">
      <c r="A181" s="207"/>
      <c r="B181" s="196"/>
      <c r="C181" s="13"/>
      <c r="D181" s="13"/>
      <c r="E181" s="13"/>
      <c r="F181" s="13"/>
    </row>
    <row r="182" spans="1:6" x14ac:dyDescent="0.25">
      <c r="A182" s="207"/>
      <c r="B182" s="196"/>
      <c r="C182" s="13"/>
      <c r="D182" s="13"/>
      <c r="E182" s="13"/>
      <c r="F182" s="13"/>
    </row>
    <row r="183" spans="1:6" x14ac:dyDescent="0.25">
      <c r="A183" s="207"/>
      <c r="B183" s="196"/>
      <c r="C183" s="13"/>
      <c r="D183" s="13"/>
      <c r="E183" s="13"/>
      <c r="F183" s="13"/>
    </row>
    <row r="184" spans="1:6" x14ac:dyDescent="0.25">
      <c r="A184" s="207"/>
      <c r="B184" s="196"/>
      <c r="C184" s="13"/>
      <c r="D184" s="13"/>
      <c r="E184" s="13"/>
      <c r="F184" s="13"/>
    </row>
    <row r="185" spans="1:6" x14ac:dyDescent="0.25">
      <c r="A185" s="207"/>
      <c r="B185" s="196"/>
      <c r="C185" s="13"/>
      <c r="D185" s="13"/>
      <c r="E185" s="13"/>
      <c r="F185" s="13"/>
    </row>
    <row r="186" spans="1:6" x14ac:dyDescent="0.25">
      <c r="A186" s="207"/>
      <c r="B186" s="196"/>
      <c r="C186" s="13"/>
      <c r="D186" s="13"/>
      <c r="E186" s="13"/>
      <c r="F186" s="13"/>
    </row>
    <row r="187" spans="1:6" x14ac:dyDescent="0.25">
      <c r="A187" s="207"/>
      <c r="B187" s="196"/>
      <c r="C187" s="13"/>
      <c r="D187" s="13"/>
      <c r="E187" s="13"/>
      <c r="F187" s="13"/>
    </row>
    <row r="188" spans="1:6" x14ac:dyDescent="0.25">
      <c r="A188" s="207"/>
      <c r="B188" s="196"/>
      <c r="C188" s="13"/>
      <c r="D188" s="13"/>
      <c r="E188" s="13"/>
      <c r="F188" s="13"/>
    </row>
    <row r="189" spans="1:6" x14ac:dyDescent="0.25">
      <c r="A189" s="207"/>
      <c r="B189" s="196"/>
      <c r="C189" s="13"/>
      <c r="D189" s="13"/>
      <c r="E189" s="13"/>
      <c r="F189" s="13"/>
    </row>
    <row r="190" spans="1:6" x14ac:dyDescent="0.25">
      <c r="A190" s="207"/>
      <c r="B190" s="196"/>
      <c r="C190" s="13"/>
      <c r="D190" s="13"/>
      <c r="E190" s="13"/>
      <c r="F190" s="13"/>
    </row>
    <row r="191" spans="1:6" x14ac:dyDescent="0.25">
      <c r="A191" s="207"/>
      <c r="B191" s="196"/>
      <c r="C191" s="13"/>
      <c r="D191" s="13"/>
      <c r="E191" s="13"/>
      <c r="F191" s="13"/>
    </row>
    <row r="192" spans="1:6" x14ac:dyDescent="0.25">
      <c r="A192" s="207"/>
      <c r="B192" s="196"/>
      <c r="C192" s="13"/>
      <c r="D192" s="13"/>
      <c r="E192" s="13"/>
      <c r="F192" s="13"/>
    </row>
    <row r="193" spans="1:6" x14ac:dyDescent="0.25">
      <c r="A193" s="207"/>
      <c r="B193" s="196"/>
      <c r="C193" s="13"/>
      <c r="D193" s="13"/>
      <c r="E193" s="13"/>
      <c r="F193" s="13"/>
    </row>
    <row r="194" spans="1:6" x14ac:dyDescent="0.25">
      <c r="A194" s="207"/>
      <c r="B194" s="196"/>
      <c r="C194" s="13"/>
      <c r="D194" s="13"/>
      <c r="E194" s="13"/>
      <c r="F194" s="13"/>
    </row>
    <row r="195" spans="1:6" x14ac:dyDescent="0.25">
      <c r="A195" s="207"/>
      <c r="B195" s="196"/>
      <c r="C195" s="13"/>
      <c r="D195" s="13"/>
      <c r="E195" s="13"/>
      <c r="F195" s="13"/>
    </row>
    <row r="196" spans="1:6" x14ac:dyDescent="0.25">
      <c r="A196" s="207"/>
      <c r="B196" s="196"/>
      <c r="C196" s="13"/>
      <c r="D196" s="13"/>
      <c r="E196" s="13"/>
      <c r="F196" s="13"/>
    </row>
    <row r="197" spans="1:6" x14ac:dyDescent="0.25">
      <c r="A197" s="207"/>
      <c r="B197" s="196"/>
      <c r="C197" s="13"/>
      <c r="D197" s="13"/>
      <c r="E197" s="13"/>
      <c r="F197" s="13"/>
    </row>
    <row r="198" spans="1:6" x14ac:dyDescent="0.25">
      <c r="A198" s="207"/>
      <c r="B198" s="196"/>
      <c r="C198" s="13"/>
      <c r="D198" s="13"/>
      <c r="E198" s="13"/>
      <c r="F198" s="13"/>
    </row>
    <row r="199" spans="1:6" x14ac:dyDescent="0.25">
      <c r="A199" s="207"/>
      <c r="B199" s="196"/>
      <c r="C199" s="13"/>
      <c r="D199" s="13"/>
      <c r="E199" s="13"/>
      <c r="F199" s="13"/>
    </row>
    <row r="200" spans="1:6" x14ac:dyDescent="0.25">
      <c r="A200" s="207"/>
      <c r="B200" s="196"/>
      <c r="C200" s="13"/>
      <c r="D200" s="13"/>
      <c r="E200" s="13"/>
      <c r="F200" s="13"/>
    </row>
    <row r="201" spans="1:6" x14ac:dyDescent="0.25">
      <c r="A201" s="207"/>
      <c r="B201" s="196"/>
      <c r="C201" s="13"/>
      <c r="D201" s="13"/>
      <c r="E201" s="13"/>
      <c r="F201" s="13"/>
    </row>
    <row r="202" spans="1:6" x14ac:dyDescent="0.25">
      <c r="A202" s="207"/>
      <c r="B202" s="196"/>
      <c r="C202" s="13"/>
      <c r="D202" s="13"/>
      <c r="E202" s="13"/>
      <c r="F202" s="13"/>
    </row>
    <row r="203" spans="1:6" x14ac:dyDescent="0.25">
      <c r="A203" s="207"/>
      <c r="B203" s="196"/>
      <c r="C203" s="13"/>
      <c r="D203" s="13"/>
      <c r="E203" s="13"/>
      <c r="F203" s="13"/>
    </row>
    <row r="204" spans="1:6" x14ac:dyDescent="0.25">
      <c r="A204" s="207"/>
      <c r="B204" s="196"/>
      <c r="C204" s="13"/>
      <c r="D204" s="13"/>
      <c r="E204" s="13"/>
      <c r="F204" s="13"/>
    </row>
    <row r="205" spans="1:6" x14ac:dyDescent="0.25">
      <c r="A205" s="207"/>
      <c r="B205" s="196"/>
      <c r="C205" s="13"/>
      <c r="D205" s="13"/>
      <c r="E205" s="13"/>
      <c r="F205" s="13"/>
    </row>
    <row r="206" spans="1:6" x14ac:dyDescent="0.25">
      <c r="A206" s="207"/>
      <c r="B206" s="196"/>
      <c r="C206" s="13"/>
      <c r="D206" s="13"/>
      <c r="E206" s="13"/>
      <c r="F206" s="13"/>
    </row>
    <row r="207" spans="1:6" x14ac:dyDescent="0.25">
      <c r="A207" s="207"/>
      <c r="B207" s="196"/>
      <c r="C207" s="13"/>
      <c r="D207" s="13"/>
      <c r="E207" s="13"/>
      <c r="F207" s="13"/>
    </row>
    <row r="208" spans="1:6" x14ac:dyDescent="0.25">
      <c r="A208" s="207"/>
      <c r="B208" s="196"/>
      <c r="C208" s="13"/>
      <c r="D208" s="13"/>
      <c r="E208" s="13"/>
      <c r="F208" s="13"/>
    </row>
    <row r="209" spans="1:6" x14ac:dyDescent="0.25">
      <c r="A209" s="207"/>
      <c r="B209" s="196"/>
      <c r="C209" s="13"/>
      <c r="D209" s="13"/>
      <c r="E209" s="13"/>
      <c r="F209" s="13"/>
    </row>
    <row r="210" spans="1:6" x14ac:dyDescent="0.25">
      <c r="A210" s="207"/>
      <c r="B210" s="196"/>
      <c r="C210" s="13"/>
      <c r="D210" s="13"/>
      <c r="E210" s="13"/>
      <c r="F210" s="13"/>
    </row>
    <row r="211" spans="1:6" x14ac:dyDescent="0.25">
      <c r="A211" s="207"/>
      <c r="B211" s="196"/>
      <c r="C211" s="13"/>
      <c r="D211" s="13"/>
      <c r="E211" s="13"/>
      <c r="F211" s="13"/>
    </row>
    <row r="212" spans="1:6" x14ac:dyDescent="0.25">
      <c r="A212" s="207"/>
      <c r="B212" s="196"/>
      <c r="C212" s="13"/>
      <c r="D212" s="13"/>
      <c r="E212" s="13"/>
      <c r="F212" s="13"/>
    </row>
    <row r="213" spans="1:6" x14ac:dyDescent="0.25">
      <c r="A213" s="207"/>
      <c r="B213" s="196"/>
      <c r="C213" s="13"/>
      <c r="D213" s="13"/>
      <c r="E213" s="13"/>
      <c r="F213" s="13"/>
    </row>
    <row r="214" spans="1:6" x14ac:dyDescent="0.25">
      <c r="A214" s="207"/>
      <c r="B214" s="196"/>
      <c r="C214" s="13"/>
      <c r="D214" s="13"/>
      <c r="E214" s="13"/>
      <c r="F214" s="13"/>
    </row>
    <row r="215" spans="1:6" x14ac:dyDescent="0.25">
      <c r="A215" s="207"/>
      <c r="B215" s="196"/>
      <c r="C215" s="13"/>
      <c r="D215" s="13"/>
      <c r="E215" s="13"/>
      <c r="F215" s="13"/>
    </row>
    <row r="216" spans="1:6" x14ac:dyDescent="0.25">
      <c r="A216" s="207"/>
      <c r="B216" s="196"/>
      <c r="C216" s="13"/>
      <c r="D216" s="13"/>
      <c r="E216" s="13"/>
      <c r="F216" s="13"/>
    </row>
    <row r="217" spans="1:6" x14ac:dyDescent="0.25">
      <c r="A217" s="207"/>
      <c r="B217" s="196"/>
      <c r="C217" s="13"/>
      <c r="D217" s="13"/>
      <c r="E217" s="13"/>
      <c r="F217" s="13"/>
    </row>
    <row r="218" spans="1:6" x14ac:dyDescent="0.25">
      <c r="A218" s="207"/>
      <c r="B218" s="196"/>
      <c r="C218" s="13"/>
      <c r="D218" s="13"/>
      <c r="E218" s="13"/>
      <c r="F218" s="13"/>
    </row>
    <row r="219" spans="1:6" x14ac:dyDescent="0.25">
      <c r="A219" s="207"/>
      <c r="B219" s="196"/>
      <c r="C219" s="13"/>
      <c r="D219" s="13"/>
      <c r="E219" s="13"/>
      <c r="F219" s="13"/>
    </row>
    <row r="220" spans="1:6" x14ac:dyDescent="0.25">
      <c r="A220" s="207"/>
      <c r="B220" s="196"/>
      <c r="C220" s="13"/>
      <c r="D220" s="13"/>
      <c r="E220" s="13"/>
      <c r="F220" s="13"/>
    </row>
    <row r="221" spans="1:6" x14ac:dyDescent="0.25">
      <c r="A221" s="207"/>
      <c r="B221" s="196"/>
      <c r="C221" s="13"/>
      <c r="D221" s="13"/>
      <c r="E221" s="13"/>
      <c r="F221" s="13"/>
    </row>
    <row r="222" spans="1:6" x14ac:dyDescent="0.25">
      <c r="A222" s="207"/>
      <c r="B222" s="196"/>
      <c r="C222" s="13"/>
      <c r="D222" s="13"/>
      <c r="E222" s="13"/>
      <c r="F222" s="13"/>
    </row>
    <row r="223" spans="1:6" x14ac:dyDescent="0.25">
      <c r="A223" s="207"/>
      <c r="B223" s="196"/>
      <c r="C223" s="13"/>
      <c r="D223" s="13"/>
      <c r="E223" s="13"/>
      <c r="F223" s="13"/>
    </row>
    <row r="224" spans="1:6" x14ac:dyDescent="0.25">
      <c r="A224" s="207"/>
      <c r="B224" s="196"/>
      <c r="C224" s="13"/>
      <c r="D224" s="13"/>
      <c r="E224" s="13"/>
      <c r="F224" s="13"/>
    </row>
    <row r="225" spans="1:6" x14ac:dyDescent="0.25">
      <c r="A225" s="207"/>
      <c r="B225" s="196"/>
      <c r="C225" s="13"/>
      <c r="D225" s="13"/>
      <c r="E225" s="13"/>
      <c r="F225" s="13"/>
    </row>
    <row r="226" spans="1:6" x14ac:dyDescent="0.25">
      <c r="A226" s="207"/>
      <c r="B226" s="196"/>
      <c r="C226" s="13"/>
      <c r="D226" s="13"/>
      <c r="E226" s="13"/>
      <c r="F226" s="13"/>
    </row>
    <row r="227" spans="1:6" x14ac:dyDescent="0.25">
      <c r="A227" s="207"/>
      <c r="B227" s="196"/>
      <c r="C227" s="13"/>
      <c r="D227" s="13"/>
      <c r="E227" s="13"/>
      <c r="F227" s="13"/>
    </row>
    <row r="228" spans="1:6" x14ac:dyDescent="0.25">
      <c r="A228" s="207"/>
      <c r="B228" s="196"/>
      <c r="C228" s="13"/>
      <c r="D228" s="13"/>
      <c r="E228" s="13"/>
      <c r="F228" s="13"/>
    </row>
    <row r="229" spans="1:6" x14ac:dyDescent="0.25">
      <c r="A229" s="207"/>
      <c r="B229" s="196"/>
      <c r="C229" s="13"/>
      <c r="D229" s="13"/>
      <c r="E229" s="13"/>
      <c r="F229" s="13"/>
    </row>
    <row r="230" spans="1:6" x14ac:dyDescent="0.25">
      <c r="A230" s="207"/>
      <c r="B230" s="196"/>
      <c r="C230" s="13"/>
      <c r="D230" s="13"/>
      <c r="E230" s="13"/>
      <c r="F230" s="13"/>
    </row>
    <row r="231" spans="1:6" x14ac:dyDescent="0.25">
      <c r="A231" s="207"/>
      <c r="B231" s="196"/>
      <c r="C231" s="13"/>
      <c r="D231" s="13"/>
      <c r="E231" s="13"/>
      <c r="F231" s="13"/>
    </row>
    <row r="232" spans="1:6" x14ac:dyDescent="0.25">
      <c r="A232" s="207"/>
      <c r="B232" s="196"/>
      <c r="C232" s="13"/>
      <c r="D232" s="13"/>
      <c r="E232" s="13"/>
      <c r="F232" s="13"/>
    </row>
    <row r="233" spans="1:6" x14ac:dyDescent="0.25">
      <c r="A233" s="207"/>
      <c r="B233" s="196"/>
      <c r="C233" s="13"/>
      <c r="D233" s="13"/>
      <c r="E233" s="13"/>
      <c r="F233" s="13"/>
    </row>
    <row r="234" spans="1:6" x14ac:dyDescent="0.25">
      <c r="A234" s="207"/>
      <c r="B234" s="196"/>
      <c r="C234" s="13"/>
      <c r="D234" s="13"/>
      <c r="E234" s="13"/>
      <c r="F234" s="13"/>
    </row>
    <row r="235" spans="1:6" x14ac:dyDescent="0.25">
      <c r="A235" s="207"/>
      <c r="B235" s="196"/>
      <c r="C235" s="13"/>
      <c r="D235" s="13"/>
      <c r="E235" s="13"/>
      <c r="F235" s="13"/>
    </row>
    <row r="236" spans="1:6" x14ac:dyDescent="0.25">
      <c r="A236" s="207"/>
      <c r="B236" s="196"/>
      <c r="C236" s="13"/>
      <c r="D236" s="13"/>
      <c r="E236" s="13"/>
      <c r="F236" s="13"/>
    </row>
    <row r="237" spans="1:6" x14ac:dyDescent="0.25">
      <c r="A237" s="207"/>
      <c r="B237" s="196"/>
      <c r="C237" s="13"/>
      <c r="D237" s="13"/>
      <c r="E237" s="13"/>
      <c r="F237" s="13"/>
    </row>
    <row r="238" spans="1:6" x14ac:dyDescent="0.25">
      <c r="A238" s="207"/>
      <c r="B238" s="196"/>
      <c r="C238" s="13"/>
      <c r="D238" s="13"/>
      <c r="E238" s="13"/>
      <c r="F238" s="13"/>
    </row>
    <row r="239" spans="1:6" x14ac:dyDescent="0.25">
      <c r="A239" s="207"/>
      <c r="B239" s="196"/>
      <c r="C239" s="13"/>
      <c r="D239" s="13"/>
      <c r="E239" s="13"/>
      <c r="F239" s="13"/>
    </row>
    <row r="240" spans="1:6" x14ac:dyDescent="0.25">
      <c r="A240" s="207"/>
      <c r="B240" s="196"/>
      <c r="C240" s="13"/>
      <c r="D240" s="13"/>
      <c r="E240" s="13"/>
      <c r="F240" s="13"/>
    </row>
    <row r="241" spans="1:6" x14ac:dyDescent="0.25">
      <c r="A241" s="207"/>
      <c r="B241" s="196"/>
      <c r="C241" s="13"/>
      <c r="D241" s="13"/>
      <c r="E241" s="13"/>
      <c r="F241" s="13"/>
    </row>
    <row r="242" spans="1:6" x14ac:dyDescent="0.25">
      <c r="A242" s="207"/>
      <c r="B242" s="196"/>
      <c r="C242" s="13"/>
      <c r="D242" s="13"/>
      <c r="E242" s="13"/>
      <c r="F242" s="13"/>
    </row>
    <row r="243" spans="1:6" x14ac:dyDescent="0.25">
      <c r="A243" s="207"/>
      <c r="B243" s="196"/>
      <c r="C243" s="13"/>
      <c r="D243" s="13"/>
      <c r="E243" s="13"/>
      <c r="F243" s="13"/>
    </row>
    <row r="244" spans="1:6" x14ac:dyDescent="0.25">
      <c r="A244" s="207"/>
      <c r="B244" s="196"/>
      <c r="C244" s="13"/>
      <c r="D244" s="13"/>
      <c r="E244" s="13"/>
      <c r="F244" s="13"/>
    </row>
    <row r="245" spans="1:6" x14ac:dyDescent="0.25">
      <c r="A245" s="207"/>
      <c r="B245" s="196"/>
      <c r="C245" s="13"/>
      <c r="D245" s="13"/>
      <c r="E245" s="13"/>
      <c r="F245" s="13"/>
    </row>
    <row r="246" spans="1:6" x14ac:dyDescent="0.25">
      <c r="A246" s="207"/>
      <c r="B246" s="196"/>
      <c r="C246" s="13"/>
      <c r="D246" s="13"/>
      <c r="E246" s="13"/>
      <c r="F246" s="13"/>
    </row>
    <row r="247" spans="1:6" x14ac:dyDescent="0.25">
      <c r="A247" s="207"/>
      <c r="B247" s="196"/>
      <c r="C247" s="13"/>
      <c r="D247" s="13"/>
      <c r="E247" s="13"/>
      <c r="F247" s="13"/>
    </row>
    <row r="248" spans="1:6" x14ac:dyDescent="0.25">
      <c r="A248" s="207"/>
      <c r="B248" s="196"/>
      <c r="C248" s="13"/>
      <c r="D248" s="13"/>
      <c r="E248" s="13"/>
      <c r="F248" s="13"/>
    </row>
    <row r="249" spans="1:6" x14ac:dyDescent="0.25">
      <c r="A249" s="207"/>
      <c r="B249" s="196"/>
      <c r="C249" s="13"/>
      <c r="D249" s="13"/>
      <c r="E249" s="13"/>
      <c r="F249" s="13"/>
    </row>
    <row r="250" spans="1:6" x14ac:dyDescent="0.25">
      <c r="A250" s="207"/>
      <c r="B250" s="196"/>
      <c r="C250" s="13"/>
      <c r="D250" s="13"/>
      <c r="E250" s="13"/>
      <c r="F250" s="13"/>
    </row>
    <row r="251" spans="1:6" x14ac:dyDescent="0.25">
      <c r="A251" s="207"/>
      <c r="B251" s="196"/>
      <c r="C251" s="13"/>
      <c r="D251" s="13"/>
      <c r="E251" s="13"/>
      <c r="F251" s="13"/>
    </row>
    <row r="252" spans="1:6" x14ac:dyDescent="0.25">
      <c r="A252" s="207"/>
      <c r="B252" s="196"/>
      <c r="C252" s="13"/>
      <c r="D252" s="13"/>
      <c r="E252" s="13"/>
      <c r="F252" s="13"/>
    </row>
    <row r="253" spans="1:6" x14ac:dyDescent="0.25">
      <c r="A253" s="207"/>
      <c r="B253" s="196"/>
      <c r="C253" s="13"/>
      <c r="D253" s="13"/>
      <c r="E253" s="13"/>
      <c r="F253" s="13"/>
    </row>
    <row r="254" spans="1:6" x14ac:dyDescent="0.25">
      <c r="A254" s="207"/>
      <c r="B254" s="196"/>
      <c r="C254" s="13"/>
      <c r="D254" s="13"/>
      <c r="E254" s="13"/>
      <c r="F254" s="13"/>
    </row>
    <row r="255" spans="1:6" x14ac:dyDescent="0.25">
      <c r="A255" s="207"/>
      <c r="B255" s="196"/>
      <c r="C255" s="13"/>
      <c r="D255" s="13"/>
      <c r="E255" s="13"/>
      <c r="F255" s="13"/>
    </row>
    <row r="256" spans="1:6" x14ac:dyDescent="0.25">
      <c r="A256" s="207"/>
      <c r="B256" s="196"/>
      <c r="C256" s="13"/>
      <c r="D256" s="13"/>
      <c r="E256" s="13"/>
      <c r="F256" s="13"/>
    </row>
    <row r="257" spans="1:6" x14ac:dyDescent="0.25">
      <c r="A257" s="207"/>
      <c r="B257" s="196"/>
      <c r="C257" s="13"/>
      <c r="D257" s="13"/>
      <c r="E257" s="13"/>
      <c r="F257" s="13"/>
    </row>
    <row r="258" spans="1:6" x14ac:dyDescent="0.25">
      <c r="A258" s="207"/>
      <c r="B258" s="196"/>
      <c r="C258" s="13"/>
      <c r="D258" s="13"/>
      <c r="E258" s="13"/>
      <c r="F258" s="13"/>
    </row>
    <row r="259" spans="1:6" x14ac:dyDescent="0.25">
      <c r="A259" s="207"/>
      <c r="B259" s="196"/>
      <c r="C259" s="13"/>
      <c r="D259" s="13"/>
      <c r="E259" s="13"/>
      <c r="F259" s="13"/>
    </row>
    <row r="260" spans="1:6" x14ac:dyDescent="0.25">
      <c r="A260" s="207"/>
      <c r="B260" s="196"/>
      <c r="C260" s="13"/>
      <c r="D260" s="13"/>
      <c r="E260" s="13"/>
      <c r="F260" s="13"/>
    </row>
    <row r="261" spans="1:6" x14ac:dyDescent="0.25">
      <c r="A261" s="207"/>
      <c r="B261" s="196"/>
      <c r="C261" s="13"/>
      <c r="D261" s="13"/>
      <c r="E261" s="13"/>
      <c r="F261" s="13"/>
    </row>
    <row r="262" spans="1:6" x14ac:dyDescent="0.25">
      <c r="A262" s="207"/>
      <c r="B262" s="196"/>
      <c r="C262" s="13"/>
      <c r="D262" s="13"/>
      <c r="E262" s="13"/>
      <c r="F262" s="13"/>
    </row>
    <row r="263" spans="1:6" x14ac:dyDescent="0.25">
      <c r="A263" s="207"/>
      <c r="B263" s="196"/>
      <c r="C263" s="13"/>
      <c r="D263" s="13"/>
      <c r="E263" s="13"/>
      <c r="F263" s="13"/>
    </row>
    <row r="264" spans="1:6" x14ac:dyDescent="0.25">
      <c r="A264" s="207"/>
      <c r="B264" s="196"/>
      <c r="C264" s="13"/>
      <c r="D264" s="13"/>
      <c r="E264" s="13"/>
      <c r="F264" s="13"/>
    </row>
    <row r="265" spans="1:6" x14ac:dyDescent="0.25">
      <c r="A265" s="207"/>
      <c r="B265" s="196"/>
      <c r="C265" s="13"/>
      <c r="D265" s="13"/>
      <c r="E265" s="13"/>
      <c r="F265" s="13"/>
    </row>
    <row r="266" spans="1:6" x14ac:dyDescent="0.25">
      <c r="A266" s="207"/>
      <c r="B266" s="196"/>
      <c r="C266" s="13"/>
      <c r="D266" s="13"/>
      <c r="E266" s="13"/>
      <c r="F266" s="13"/>
    </row>
    <row r="267" spans="1:6" x14ac:dyDescent="0.25">
      <c r="A267" s="207"/>
      <c r="B267" s="196"/>
      <c r="C267" s="13"/>
      <c r="D267" s="13"/>
      <c r="E267" s="13"/>
      <c r="F267" s="13"/>
    </row>
    <row r="268" spans="1:6" x14ac:dyDescent="0.25">
      <c r="A268" s="207"/>
      <c r="B268" s="196"/>
      <c r="C268" s="13"/>
      <c r="D268" s="13"/>
      <c r="E268" s="13"/>
      <c r="F268" s="13"/>
    </row>
    <row r="269" spans="1:6" x14ac:dyDescent="0.25">
      <c r="A269" s="207"/>
      <c r="B269" s="196"/>
      <c r="C269" s="13"/>
      <c r="D269" s="13"/>
      <c r="E269" s="13"/>
      <c r="F269" s="13"/>
    </row>
    <row r="270" spans="1:6" x14ac:dyDescent="0.25">
      <c r="A270" s="207"/>
      <c r="B270" s="196"/>
      <c r="C270" s="13"/>
      <c r="D270" s="13"/>
      <c r="E270" s="13"/>
      <c r="F270" s="13"/>
    </row>
    <row r="271" spans="1:6" x14ac:dyDescent="0.25">
      <c r="A271" s="207"/>
      <c r="B271" s="196"/>
      <c r="C271" s="13"/>
      <c r="D271" s="13"/>
      <c r="E271" s="13"/>
      <c r="F271" s="13"/>
    </row>
    <row r="272" spans="1:6" x14ac:dyDescent="0.25">
      <c r="A272" s="207"/>
      <c r="B272" s="196"/>
      <c r="C272" s="13"/>
      <c r="D272" s="13"/>
      <c r="E272" s="13"/>
      <c r="F272" s="13"/>
    </row>
    <row r="273" spans="1:6" x14ac:dyDescent="0.25">
      <c r="A273" s="207"/>
      <c r="B273" s="196"/>
      <c r="C273" s="13"/>
      <c r="D273" s="13"/>
      <c r="E273" s="13"/>
      <c r="F273" s="13"/>
    </row>
    <row r="274" spans="1:6" x14ac:dyDescent="0.25">
      <c r="A274" s="207"/>
      <c r="B274" s="196"/>
      <c r="C274" s="13"/>
      <c r="D274" s="13"/>
      <c r="E274" s="13"/>
      <c r="F274" s="13"/>
    </row>
    <row r="275" spans="1:6" x14ac:dyDescent="0.25">
      <c r="A275" s="207"/>
      <c r="B275" s="196"/>
      <c r="C275" s="13"/>
      <c r="D275" s="13"/>
      <c r="E275" s="13"/>
      <c r="F275" s="13"/>
    </row>
    <row r="276" spans="1:6" x14ac:dyDescent="0.25">
      <c r="A276" s="207"/>
      <c r="B276" s="196"/>
      <c r="C276" s="13"/>
      <c r="D276" s="13"/>
      <c r="E276" s="13"/>
      <c r="F276" s="13"/>
    </row>
    <row r="277" spans="1:6" x14ac:dyDescent="0.25">
      <c r="A277" s="207"/>
      <c r="B277" s="196"/>
      <c r="C277" s="13"/>
      <c r="D277" s="13"/>
      <c r="E277" s="13"/>
      <c r="F277" s="13"/>
    </row>
    <row r="278" spans="1:6" x14ac:dyDescent="0.25">
      <c r="A278" s="207"/>
      <c r="B278" s="196"/>
      <c r="C278" s="13"/>
      <c r="D278" s="13"/>
      <c r="E278" s="13"/>
      <c r="F278" s="13"/>
    </row>
    <row r="279" spans="1:6" x14ac:dyDescent="0.25">
      <c r="A279" s="207"/>
      <c r="B279" s="196"/>
      <c r="C279" s="13"/>
      <c r="D279" s="13"/>
      <c r="E279" s="13"/>
      <c r="F279" s="13"/>
    </row>
    <row r="280" spans="1:6" x14ac:dyDescent="0.25">
      <c r="A280" s="207"/>
      <c r="B280" s="196"/>
      <c r="C280" s="13"/>
      <c r="D280" s="13"/>
      <c r="E280" s="13"/>
      <c r="F280" s="13"/>
    </row>
    <row r="281" spans="1:6" x14ac:dyDescent="0.25">
      <c r="A281" s="207"/>
      <c r="B281" s="196"/>
      <c r="C281" s="13"/>
      <c r="D281" s="13"/>
      <c r="E281" s="13"/>
      <c r="F281" s="13"/>
    </row>
    <row r="282" spans="1:6" x14ac:dyDescent="0.25">
      <c r="A282" s="207"/>
      <c r="B282" s="196"/>
      <c r="C282" s="13"/>
      <c r="D282" s="13"/>
      <c r="E282" s="13"/>
      <c r="F282" s="13"/>
    </row>
    <row r="283" spans="1:6" x14ac:dyDescent="0.25">
      <c r="A283" s="207"/>
      <c r="B283" s="196"/>
      <c r="C283" s="13"/>
      <c r="D283" s="13"/>
      <c r="E283" s="13"/>
      <c r="F283" s="13"/>
    </row>
    <row r="284" spans="1:6" x14ac:dyDescent="0.25">
      <c r="A284" s="207"/>
      <c r="B284" s="196"/>
      <c r="C284" s="13"/>
      <c r="D284" s="13"/>
      <c r="E284" s="13"/>
      <c r="F284" s="13"/>
    </row>
    <row r="285" spans="1:6" x14ac:dyDescent="0.25">
      <c r="A285" s="207"/>
      <c r="B285" s="196"/>
      <c r="C285" s="13"/>
      <c r="D285" s="13"/>
      <c r="E285" s="13"/>
      <c r="F285" s="13"/>
    </row>
    <row r="286" spans="1:6" x14ac:dyDescent="0.25">
      <c r="A286" s="207"/>
      <c r="B286" s="196"/>
      <c r="C286" s="13"/>
      <c r="D286" s="13"/>
      <c r="E286" s="13"/>
      <c r="F286" s="13"/>
    </row>
    <row r="287" spans="1:6" x14ac:dyDescent="0.25">
      <c r="A287" s="207"/>
      <c r="B287" s="196"/>
      <c r="C287" s="13"/>
      <c r="D287" s="13"/>
      <c r="E287" s="13"/>
      <c r="F287" s="13"/>
    </row>
    <row r="288" spans="1:6" x14ac:dyDescent="0.25">
      <c r="A288" s="207"/>
      <c r="B288" s="196"/>
      <c r="C288" s="13"/>
      <c r="D288" s="13"/>
      <c r="E288" s="13"/>
      <c r="F288" s="13"/>
    </row>
    <row r="289" spans="1:6" x14ac:dyDescent="0.25">
      <c r="A289" s="207"/>
      <c r="B289" s="196"/>
      <c r="C289" s="13"/>
      <c r="D289" s="13"/>
      <c r="E289" s="13"/>
      <c r="F289" s="13"/>
    </row>
    <row r="290" spans="1:6" x14ac:dyDescent="0.25">
      <c r="A290" s="207"/>
      <c r="B290" s="196"/>
      <c r="C290" s="13"/>
      <c r="D290" s="13"/>
      <c r="E290" s="13"/>
      <c r="F290" s="13"/>
    </row>
    <row r="291" spans="1:6" x14ac:dyDescent="0.25">
      <c r="A291" s="207"/>
      <c r="B291" s="196"/>
      <c r="C291" s="13"/>
      <c r="D291" s="13"/>
      <c r="E291" s="13"/>
      <c r="F291" s="13"/>
    </row>
    <row r="292" spans="1:6" x14ac:dyDescent="0.25">
      <c r="A292" s="207"/>
      <c r="B292" s="196"/>
      <c r="C292" s="13"/>
      <c r="D292" s="13"/>
      <c r="E292" s="13"/>
      <c r="F292" s="13"/>
    </row>
    <row r="293" spans="1:6" x14ac:dyDescent="0.25">
      <c r="A293" s="207"/>
      <c r="B293" s="196"/>
      <c r="C293" s="13"/>
      <c r="D293" s="13"/>
      <c r="E293" s="13"/>
      <c r="F293" s="13"/>
    </row>
    <row r="294" spans="1:6" x14ac:dyDescent="0.25">
      <c r="A294" s="207"/>
      <c r="B294" s="196"/>
      <c r="C294" s="13"/>
      <c r="D294" s="13"/>
      <c r="E294" s="13"/>
      <c r="F294" s="13"/>
    </row>
    <row r="295" spans="1:6" x14ac:dyDescent="0.25">
      <c r="A295" s="207"/>
      <c r="B295" s="196"/>
      <c r="C295" s="13"/>
      <c r="D295" s="13"/>
      <c r="E295" s="13"/>
      <c r="F295" s="13"/>
    </row>
    <row r="296" spans="1:6" x14ac:dyDescent="0.25">
      <c r="A296" s="207"/>
      <c r="B296" s="196"/>
      <c r="C296" s="13"/>
      <c r="D296" s="13"/>
      <c r="E296" s="13"/>
      <c r="F296" s="13"/>
    </row>
    <row r="297" spans="1:6" x14ac:dyDescent="0.25">
      <c r="A297" s="207"/>
      <c r="B297" s="196"/>
      <c r="C297" s="13"/>
      <c r="D297" s="13"/>
      <c r="E297" s="13"/>
      <c r="F297" s="13"/>
    </row>
    <row r="298" spans="1:6" x14ac:dyDescent="0.25">
      <c r="A298" s="207"/>
      <c r="B298" s="196"/>
      <c r="C298" s="13"/>
      <c r="D298" s="13"/>
      <c r="E298" s="13"/>
      <c r="F298" s="13"/>
    </row>
    <row r="299" spans="1:6" x14ac:dyDescent="0.25">
      <c r="A299" s="207"/>
      <c r="B299" s="196"/>
      <c r="C299" s="13"/>
      <c r="D299" s="13"/>
      <c r="E299" s="13"/>
      <c r="F299" s="13"/>
    </row>
    <row r="300" spans="1:6" x14ac:dyDescent="0.25">
      <c r="A300" s="207"/>
      <c r="B300" s="196"/>
      <c r="C300" s="13"/>
      <c r="D300" s="13"/>
      <c r="E300" s="13"/>
      <c r="F300" s="13"/>
    </row>
    <row r="301" spans="1:6" x14ac:dyDescent="0.25">
      <c r="A301" s="207"/>
      <c r="B301" s="196"/>
      <c r="C301" s="13"/>
      <c r="D301" s="13"/>
      <c r="E301" s="13"/>
      <c r="F301" s="13"/>
    </row>
    <row r="302" spans="1:6" x14ac:dyDescent="0.25">
      <c r="A302" s="207"/>
      <c r="B302" s="196"/>
      <c r="C302" s="13"/>
      <c r="D302" s="13"/>
      <c r="E302" s="13"/>
      <c r="F302" s="13"/>
    </row>
    <row r="303" spans="1:6" x14ac:dyDescent="0.25">
      <c r="A303" s="207"/>
      <c r="B303" s="196"/>
      <c r="C303" s="13"/>
      <c r="D303" s="13"/>
      <c r="E303" s="13"/>
      <c r="F303" s="13"/>
    </row>
    <row r="304" spans="1:6" x14ac:dyDescent="0.25">
      <c r="A304" s="207"/>
      <c r="B304" s="196"/>
      <c r="C304" s="13"/>
      <c r="D304" s="13"/>
      <c r="E304" s="13"/>
      <c r="F304" s="13"/>
    </row>
    <row r="305" spans="1:6" x14ac:dyDescent="0.25">
      <c r="A305" s="207"/>
      <c r="B305" s="196"/>
      <c r="C305" s="13"/>
      <c r="D305" s="13"/>
      <c r="E305" s="13"/>
      <c r="F305" s="13"/>
    </row>
    <row r="306" spans="1:6" x14ac:dyDescent="0.25">
      <c r="A306" s="207"/>
      <c r="B306" s="196"/>
      <c r="C306" s="13"/>
      <c r="D306" s="13"/>
      <c r="E306" s="13"/>
      <c r="F306" s="13"/>
    </row>
    <row r="307" spans="1:6" x14ac:dyDescent="0.25">
      <c r="A307" s="207"/>
      <c r="B307" s="196"/>
      <c r="C307" s="13"/>
      <c r="D307" s="13"/>
      <c r="E307" s="13"/>
      <c r="F307" s="13"/>
    </row>
    <row r="308" spans="1:6" x14ac:dyDescent="0.25">
      <c r="A308" s="207"/>
      <c r="B308" s="196"/>
      <c r="C308" s="13"/>
      <c r="D308" s="13"/>
      <c r="E308" s="13"/>
      <c r="F308" s="13"/>
    </row>
    <row r="309" spans="1:6" x14ac:dyDescent="0.25">
      <c r="A309" s="207"/>
      <c r="B309" s="196"/>
      <c r="C309" s="13"/>
      <c r="D309" s="13"/>
      <c r="E309" s="13"/>
      <c r="F309" s="13"/>
    </row>
    <row r="310" spans="1:6" x14ac:dyDescent="0.25">
      <c r="A310" s="207"/>
      <c r="B310" s="196"/>
      <c r="C310" s="13"/>
      <c r="D310" s="13"/>
      <c r="E310" s="13"/>
      <c r="F310" s="13"/>
    </row>
    <row r="311" spans="1:6" x14ac:dyDescent="0.25">
      <c r="A311" s="207"/>
      <c r="B311" s="196"/>
      <c r="C311" s="13"/>
      <c r="D311" s="13"/>
      <c r="E311" s="13"/>
      <c r="F311" s="13"/>
    </row>
    <row r="312" spans="1:6" x14ac:dyDescent="0.25">
      <c r="A312" s="207"/>
      <c r="B312" s="196"/>
      <c r="C312" s="13"/>
      <c r="D312" s="13"/>
      <c r="E312" s="13"/>
      <c r="F312" s="13"/>
    </row>
    <row r="313" spans="1:6" x14ac:dyDescent="0.25">
      <c r="A313" s="207"/>
      <c r="B313" s="196"/>
      <c r="C313" s="13"/>
      <c r="D313" s="13"/>
      <c r="E313" s="13"/>
      <c r="F313" s="13"/>
    </row>
    <row r="314" spans="1:6" x14ac:dyDescent="0.25">
      <c r="A314" s="207"/>
      <c r="B314" s="196"/>
      <c r="C314" s="13"/>
      <c r="D314" s="13"/>
      <c r="E314" s="13"/>
      <c r="F314" s="13"/>
    </row>
    <row r="315" spans="1:6" x14ac:dyDescent="0.25">
      <c r="A315" s="207"/>
      <c r="B315" s="196"/>
      <c r="C315" s="13"/>
      <c r="D315" s="13"/>
      <c r="E315" s="13"/>
      <c r="F315" s="13"/>
    </row>
    <row r="316" spans="1:6" x14ac:dyDescent="0.25">
      <c r="A316" s="207"/>
      <c r="B316" s="196"/>
      <c r="C316" s="13"/>
      <c r="D316" s="13"/>
      <c r="E316" s="13"/>
      <c r="F316" s="13"/>
    </row>
    <row r="317" spans="1:6" x14ac:dyDescent="0.25">
      <c r="A317" s="207"/>
      <c r="B317" s="196"/>
      <c r="C317" s="13"/>
      <c r="D317" s="13"/>
      <c r="E317" s="13"/>
      <c r="F317" s="13"/>
    </row>
    <row r="318" spans="1:6" x14ac:dyDescent="0.25">
      <c r="A318" s="207"/>
      <c r="B318" s="196"/>
      <c r="C318" s="13"/>
      <c r="D318" s="13"/>
      <c r="E318" s="13"/>
      <c r="F318" s="13"/>
    </row>
    <row r="319" spans="1:6" x14ac:dyDescent="0.25">
      <c r="A319" s="207"/>
      <c r="B319" s="196"/>
      <c r="C319" s="13"/>
      <c r="D319" s="13"/>
      <c r="E319" s="13"/>
      <c r="F319" s="13"/>
    </row>
    <row r="320" spans="1:6" x14ac:dyDescent="0.25">
      <c r="A320" s="207"/>
      <c r="B320" s="196"/>
      <c r="C320" s="13"/>
      <c r="D320" s="13"/>
      <c r="E320" s="13"/>
      <c r="F320" s="13"/>
    </row>
    <row r="321" spans="1:6" x14ac:dyDescent="0.25">
      <c r="A321" s="207"/>
      <c r="B321" s="196"/>
      <c r="C321" s="13"/>
      <c r="D321" s="13"/>
      <c r="E321" s="13"/>
      <c r="F321" s="13"/>
    </row>
    <row r="322" spans="1:6" x14ac:dyDescent="0.25">
      <c r="A322" s="207"/>
      <c r="B322" s="196"/>
      <c r="C322" s="13"/>
      <c r="D322" s="13"/>
      <c r="E322" s="13"/>
      <c r="F322" s="13"/>
    </row>
    <row r="323" spans="1:6" x14ac:dyDescent="0.25">
      <c r="A323" s="207"/>
      <c r="B323" s="196"/>
      <c r="C323" s="13"/>
      <c r="D323" s="13"/>
      <c r="E323" s="13"/>
      <c r="F323" s="13"/>
    </row>
    <row r="324" spans="1:6" x14ac:dyDescent="0.25">
      <c r="A324" s="207"/>
      <c r="B324" s="196"/>
      <c r="C324" s="13"/>
      <c r="D324" s="13"/>
      <c r="E324" s="13"/>
      <c r="F324" s="13"/>
    </row>
    <row r="325" spans="1:6" x14ac:dyDescent="0.25">
      <c r="A325" s="207"/>
      <c r="B325" s="196"/>
      <c r="C325" s="13"/>
      <c r="D325" s="13"/>
      <c r="E325" s="13"/>
      <c r="F325" s="13"/>
    </row>
    <row r="326" spans="1:6" x14ac:dyDescent="0.25">
      <c r="A326" s="207"/>
      <c r="B326" s="196"/>
      <c r="C326" s="13"/>
      <c r="D326" s="13"/>
      <c r="E326" s="13"/>
      <c r="F326" s="13"/>
    </row>
    <row r="327" spans="1:6" x14ac:dyDescent="0.25">
      <c r="A327" s="207"/>
      <c r="B327" s="196"/>
      <c r="C327" s="13"/>
      <c r="D327" s="13"/>
      <c r="E327" s="13"/>
      <c r="F327" s="13"/>
    </row>
    <row r="328" spans="1:6" x14ac:dyDescent="0.25">
      <c r="A328" s="207"/>
      <c r="B328" s="196"/>
      <c r="C328" s="13"/>
      <c r="D328" s="13"/>
      <c r="E328" s="13"/>
      <c r="F328" s="13"/>
    </row>
    <row r="329" spans="1:6" x14ac:dyDescent="0.25">
      <c r="A329" s="207"/>
      <c r="B329" s="196"/>
      <c r="C329" s="13"/>
      <c r="D329" s="13"/>
      <c r="E329" s="13"/>
      <c r="F329" s="13"/>
    </row>
    <row r="330" spans="1:6" x14ac:dyDescent="0.25">
      <c r="A330" s="207"/>
      <c r="B330" s="196"/>
      <c r="C330" s="13"/>
      <c r="D330" s="13"/>
      <c r="E330" s="13"/>
      <c r="F330" s="13"/>
    </row>
    <row r="331" spans="1:6" x14ac:dyDescent="0.25">
      <c r="A331" s="207"/>
      <c r="B331" s="196"/>
      <c r="C331" s="13"/>
      <c r="D331" s="13"/>
      <c r="E331" s="13"/>
      <c r="F331" s="13"/>
    </row>
    <row r="332" spans="1:6" x14ac:dyDescent="0.25">
      <c r="A332" s="207"/>
      <c r="B332" s="196"/>
      <c r="C332" s="13"/>
      <c r="D332" s="13"/>
      <c r="E332" s="13"/>
      <c r="F332" s="13"/>
    </row>
    <row r="333" spans="1:6" x14ac:dyDescent="0.25">
      <c r="A333" s="207"/>
      <c r="B333" s="196"/>
      <c r="C333" s="13"/>
      <c r="D333" s="13"/>
      <c r="E333" s="13"/>
      <c r="F333" s="13"/>
    </row>
    <row r="334" spans="1:6" x14ac:dyDescent="0.25">
      <c r="A334" s="207"/>
      <c r="B334" s="196"/>
      <c r="C334" s="13"/>
      <c r="D334" s="13"/>
      <c r="E334" s="13"/>
      <c r="F334" s="13"/>
    </row>
    <row r="335" spans="1:6" x14ac:dyDescent="0.25">
      <c r="A335" s="207"/>
      <c r="B335" s="196"/>
      <c r="C335" s="13"/>
      <c r="D335" s="13"/>
      <c r="E335" s="13"/>
      <c r="F335" s="13"/>
    </row>
    <row r="336" spans="1:6" x14ac:dyDescent="0.25">
      <c r="A336" s="207"/>
      <c r="B336" s="196"/>
      <c r="C336" s="13"/>
      <c r="D336" s="13"/>
      <c r="E336" s="13"/>
      <c r="F336" s="13"/>
    </row>
    <row r="337" spans="1:6" x14ac:dyDescent="0.25">
      <c r="A337" s="207"/>
      <c r="B337" s="196"/>
      <c r="C337" s="13"/>
      <c r="D337" s="13"/>
      <c r="E337" s="13"/>
      <c r="F337" s="13"/>
    </row>
    <row r="338" spans="1:6" x14ac:dyDescent="0.25">
      <c r="A338" s="207"/>
      <c r="B338" s="196"/>
      <c r="C338" s="13"/>
      <c r="D338" s="13"/>
      <c r="E338" s="13"/>
      <c r="F338" s="13"/>
    </row>
    <row r="339" spans="1:6" x14ac:dyDescent="0.25">
      <c r="A339" s="207"/>
      <c r="B339" s="196"/>
      <c r="C339" s="13"/>
      <c r="D339" s="13"/>
      <c r="E339" s="13"/>
      <c r="F339" s="13"/>
    </row>
    <row r="340" spans="1:6" x14ac:dyDescent="0.25">
      <c r="A340" s="207"/>
      <c r="B340" s="196"/>
      <c r="C340" s="13"/>
      <c r="D340" s="13"/>
      <c r="E340" s="13"/>
      <c r="F340" s="13"/>
    </row>
    <row r="341" spans="1:6" x14ac:dyDescent="0.25">
      <c r="A341" s="207"/>
      <c r="B341" s="196"/>
      <c r="C341" s="13"/>
      <c r="D341" s="13"/>
      <c r="E341" s="13"/>
      <c r="F341" s="13"/>
    </row>
    <row r="342" spans="1:6" x14ac:dyDescent="0.25">
      <c r="A342" s="207"/>
      <c r="B342" s="196"/>
      <c r="C342" s="13"/>
      <c r="D342" s="13"/>
      <c r="E342" s="13"/>
      <c r="F342" s="13"/>
    </row>
    <row r="343" spans="1:6" x14ac:dyDescent="0.25">
      <c r="A343" s="207"/>
      <c r="B343" s="196"/>
      <c r="C343" s="13"/>
      <c r="D343" s="13"/>
      <c r="E343" s="13"/>
      <c r="F343" s="13"/>
    </row>
    <row r="344" spans="1:6" x14ac:dyDescent="0.25">
      <c r="A344" s="207"/>
      <c r="B344" s="196"/>
      <c r="C344" s="13"/>
      <c r="D344" s="13"/>
      <c r="E344" s="13"/>
      <c r="F344" s="13"/>
    </row>
    <row r="345" spans="1:6" x14ac:dyDescent="0.25">
      <c r="A345" s="207"/>
      <c r="B345" s="196"/>
      <c r="C345" s="13"/>
      <c r="D345" s="13"/>
      <c r="E345" s="13"/>
      <c r="F345" s="13"/>
    </row>
    <row r="346" spans="1:6" x14ac:dyDescent="0.25">
      <c r="A346" s="207"/>
      <c r="B346" s="196"/>
      <c r="C346" s="13"/>
      <c r="D346" s="13"/>
      <c r="E346" s="13"/>
      <c r="F346" s="13"/>
    </row>
    <row r="347" spans="1:6" x14ac:dyDescent="0.25">
      <c r="A347" s="207"/>
      <c r="B347" s="196"/>
      <c r="C347" s="13"/>
      <c r="D347" s="13"/>
      <c r="E347" s="13"/>
      <c r="F347" s="13"/>
    </row>
    <row r="348" spans="1:6" x14ac:dyDescent="0.25">
      <c r="A348" s="207"/>
      <c r="B348" s="196"/>
      <c r="C348" s="13"/>
      <c r="D348" s="13"/>
      <c r="E348" s="13"/>
      <c r="F348" s="13"/>
    </row>
    <row r="349" spans="1:6" x14ac:dyDescent="0.25">
      <c r="A349" s="207"/>
      <c r="B349" s="196"/>
      <c r="C349" s="13"/>
      <c r="D349" s="13"/>
      <c r="E349" s="13"/>
      <c r="F349" s="13"/>
    </row>
    <row r="350" spans="1:6" x14ac:dyDescent="0.25">
      <c r="A350" s="207"/>
      <c r="B350" s="196"/>
      <c r="C350" s="13"/>
      <c r="D350" s="13"/>
      <c r="E350" s="13"/>
      <c r="F350" s="13"/>
    </row>
    <row r="351" spans="1:6" x14ac:dyDescent="0.25">
      <c r="A351" s="207"/>
      <c r="B351" s="196"/>
      <c r="C351" s="13"/>
      <c r="D351" s="13"/>
      <c r="E351" s="13"/>
      <c r="F351" s="13"/>
    </row>
    <row r="352" spans="1:6" x14ac:dyDescent="0.25">
      <c r="A352" s="207"/>
      <c r="B352" s="196"/>
      <c r="C352" s="13"/>
      <c r="D352" s="13"/>
      <c r="E352" s="13"/>
      <c r="F352" s="13"/>
    </row>
    <row r="353" spans="1:6" x14ac:dyDescent="0.25">
      <c r="A353" s="207"/>
      <c r="B353" s="196"/>
      <c r="C353" s="13"/>
      <c r="D353" s="13"/>
      <c r="E353" s="13"/>
      <c r="F353" s="13"/>
    </row>
    <row r="354" spans="1:6" x14ac:dyDescent="0.25">
      <c r="A354" s="207"/>
      <c r="B354" s="196"/>
      <c r="C354" s="13"/>
      <c r="D354" s="13"/>
      <c r="E354" s="13"/>
      <c r="F354" s="13"/>
    </row>
    <row r="355" spans="1:6" x14ac:dyDescent="0.25">
      <c r="A355" s="207"/>
      <c r="B355" s="196"/>
      <c r="C355" s="13"/>
      <c r="D355" s="13"/>
      <c r="E355" s="13"/>
      <c r="F355" s="13"/>
    </row>
    <row r="356" spans="1:6" x14ac:dyDescent="0.25">
      <c r="A356" s="207"/>
      <c r="B356" s="196"/>
      <c r="C356" s="13"/>
      <c r="D356" s="13"/>
      <c r="E356" s="13"/>
      <c r="F356" s="13"/>
    </row>
    <row r="357" spans="1:6" x14ac:dyDescent="0.25">
      <c r="A357" s="207"/>
      <c r="B357" s="196"/>
      <c r="C357" s="13"/>
      <c r="D357" s="13"/>
      <c r="E357" s="13"/>
      <c r="F357" s="13"/>
    </row>
    <row r="358" spans="1:6" x14ac:dyDescent="0.25">
      <c r="A358" s="207"/>
      <c r="B358" s="196"/>
      <c r="C358" s="13"/>
      <c r="D358" s="13"/>
      <c r="E358" s="13"/>
      <c r="F358" s="13"/>
    </row>
    <row r="359" spans="1:6" x14ac:dyDescent="0.25">
      <c r="A359" s="207"/>
      <c r="B359" s="196"/>
      <c r="C359" s="13"/>
      <c r="D359" s="13"/>
      <c r="E359" s="13"/>
      <c r="F359" s="13"/>
    </row>
    <row r="360" spans="1:6" x14ac:dyDescent="0.25">
      <c r="A360" s="207"/>
      <c r="B360" s="196"/>
      <c r="C360" s="13"/>
      <c r="D360" s="13"/>
      <c r="E360" s="13"/>
      <c r="F360" s="13"/>
    </row>
    <row r="361" spans="1:6" x14ac:dyDescent="0.25">
      <c r="A361" s="207"/>
      <c r="B361" s="196"/>
      <c r="C361" s="13"/>
      <c r="D361" s="13"/>
      <c r="E361" s="13"/>
      <c r="F361" s="13"/>
    </row>
    <row r="362" spans="1:6" x14ac:dyDescent="0.25">
      <c r="A362" s="207"/>
      <c r="B362" s="196"/>
      <c r="C362" s="13"/>
      <c r="D362" s="13"/>
      <c r="E362" s="13"/>
      <c r="F362" s="13"/>
    </row>
    <row r="363" spans="1:6" x14ac:dyDescent="0.25">
      <c r="A363" s="207"/>
      <c r="B363" s="196"/>
      <c r="C363" s="13"/>
      <c r="D363" s="13"/>
      <c r="E363" s="13"/>
      <c r="F363" s="13"/>
    </row>
    <row r="364" spans="1:6" x14ac:dyDescent="0.25">
      <c r="A364" s="207"/>
      <c r="B364" s="196"/>
      <c r="C364" s="13"/>
      <c r="D364" s="13"/>
      <c r="E364" s="13"/>
      <c r="F364" s="13"/>
    </row>
    <row r="365" spans="1:6" x14ac:dyDescent="0.25">
      <c r="A365" s="207"/>
      <c r="B365" s="196"/>
      <c r="C365" s="13"/>
      <c r="D365" s="13"/>
      <c r="E365" s="13"/>
      <c r="F365" s="13"/>
    </row>
    <row r="366" spans="1:6" x14ac:dyDescent="0.25">
      <c r="A366" s="207"/>
      <c r="B366" s="196"/>
      <c r="C366" s="13"/>
      <c r="D366" s="13"/>
      <c r="E366" s="13"/>
      <c r="F366" s="13"/>
    </row>
    <row r="367" spans="1:6" x14ac:dyDescent="0.25">
      <c r="A367" s="207"/>
      <c r="B367" s="196"/>
      <c r="C367" s="13"/>
      <c r="D367" s="13"/>
      <c r="E367" s="13"/>
      <c r="F367" s="13"/>
    </row>
    <row r="368" spans="1:6" x14ac:dyDescent="0.25">
      <c r="A368" s="207"/>
      <c r="B368" s="196"/>
      <c r="C368" s="13"/>
      <c r="D368" s="13"/>
      <c r="E368" s="13"/>
      <c r="F368" s="13"/>
    </row>
    <row r="369" spans="1:6" x14ac:dyDescent="0.25">
      <c r="A369" s="207"/>
      <c r="B369" s="196"/>
      <c r="C369" s="13"/>
      <c r="D369" s="13"/>
      <c r="E369" s="13"/>
      <c r="F369" s="13"/>
    </row>
    <row r="370" spans="1:6" x14ac:dyDescent="0.25">
      <c r="A370" s="207"/>
      <c r="B370" s="196"/>
      <c r="C370" s="13"/>
      <c r="D370" s="13"/>
      <c r="E370" s="13"/>
      <c r="F370" s="13"/>
    </row>
    <row r="371" spans="1:6" x14ac:dyDescent="0.25">
      <c r="A371" s="207"/>
      <c r="B371" s="196"/>
      <c r="C371" s="13"/>
      <c r="D371" s="13"/>
      <c r="E371" s="13"/>
      <c r="F371" s="13"/>
    </row>
    <row r="372" spans="1:6" x14ac:dyDescent="0.25">
      <c r="A372" s="207"/>
      <c r="B372" s="196"/>
      <c r="C372" s="13"/>
      <c r="D372" s="13"/>
      <c r="E372" s="13"/>
      <c r="F372" s="13"/>
    </row>
    <row r="373" spans="1:6" x14ac:dyDescent="0.25">
      <c r="A373" s="207"/>
      <c r="B373" s="196"/>
      <c r="C373" s="13"/>
      <c r="D373" s="13"/>
      <c r="E373" s="13"/>
      <c r="F373" s="13"/>
    </row>
    <row r="374" spans="1:6" x14ac:dyDescent="0.25">
      <c r="A374" s="207"/>
      <c r="B374" s="196"/>
      <c r="C374" s="13"/>
      <c r="D374" s="13"/>
      <c r="E374" s="13"/>
      <c r="F374" s="13"/>
    </row>
    <row r="375" spans="1:6" x14ac:dyDescent="0.25">
      <c r="A375" s="207"/>
      <c r="B375" s="196"/>
      <c r="C375" s="13"/>
      <c r="D375" s="13"/>
      <c r="E375" s="13"/>
      <c r="F375" s="13"/>
    </row>
    <row r="376" spans="1:6" x14ac:dyDescent="0.25">
      <c r="A376" s="207"/>
      <c r="B376" s="196"/>
      <c r="C376" s="13"/>
      <c r="D376" s="13"/>
      <c r="E376" s="13"/>
      <c r="F376" s="13"/>
    </row>
    <row r="377" spans="1:6" x14ac:dyDescent="0.25">
      <c r="A377" s="207"/>
      <c r="B377" s="196"/>
      <c r="C377" s="13"/>
      <c r="D377" s="13"/>
      <c r="E377" s="13"/>
      <c r="F377" s="13"/>
    </row>
    <row r="378" spans="1:6" x14ac:dyDescent="0.25">
      <c r="A378" s="207"/>
      <c r="B378" s="196"/>
      <c r="C378" s="13"/>
      <c r="D378" s="13"/>
      <c r="E378" s="13"/>
      <c r="F378" s="13"/>
    </row>
    <row r="379" spans="1:6" x14ac:dyDescent="0.25">
      <c r="A379" s="207"/>
      <c r="B379" s="196"/>
      <c r="C379" s="13"/>
      <c r="D379" s="13"/>
      <c r="E379" s="13"/>
      <c r="F379" s="13"/>
    </row>
    <row r="380" spans="1:6" x14ac:dyDescent="0.25">
      <c r="A380" s="207"/>
      <c r="B380" s="196"/>
      <c r="C380" s="13"/>
      <c r="D380" s="13"/>
      <c r="E380" s="13"/>
      <c r="F380" s="13"/>
    </row>
    <row r="381" spans="1:6" x14ac:dyDescent="0.25">
      <c r="A381" s="207"/>
      <c r="B381" s="196"/>
      <c r="C381" s="13"/>
      <c r="D381" s="13"/>
      <c r="E381" s="13"/>
      <c r="F381" s="13"/>
    </row>
    <row r="382" spans="1:6" x14ac:dyDescent="0.25">
      <c r="A382" s="207"/>
      <c r="B382" s="196"/>
      <c r="C382" s="13"/>
      <c r="D382" s="13"/>
      <c r="E382" s="13"/>
      <c r="F382" s="13"/>
    </row>
    <row r="383" spans="1:6" x14ac:dyDescent="0.25">
      <c r="A383" s="207"/>
      <c r="B383" s="196"/>
      <c r="C383" s="13"/>
      <c r="D383" s="13"/>
      <c r="E383" s="13"/>
      <c r="F383" s="13"/>
    </row>
    <row r="384" spans="1:6" x14ac:dyDescent="0.25">
      <c r="A384" s="207"/>
      <c r="B384" s="196"/>
      <c r="C384" s="13"/>
      <c r="D384" s="13"/>
      <c r="E384" s="13"/>
      <c r="F384" s="13"/>
    </row>
    <row r="385" spans="1:6" x14ac:dyDescent="0.25">
      <c r="A385" s="207"/>
      <c r="B385" s="196"/>
      <c r="C385" s="13"/>
      <c r="D385" s="13"/>
      <c r="E385" s="13"/>
      <c r="F385" s="13"/>
    </row>
    <row r="386" spans="1:6" x14ac:dyDescent="0.25">
      <c r="A386" s="207"/>
      <c r="B386" s="196"/>
      <c r="C386" s="13"/>
      <c r="D386" s="13"/>
      <c r="E386" s="13"/>
      <c r="F386" s="13"/>
    </row>
    <row r="387" spans="1:6" x14ac:dyDescent="0.25">
      <c r="A387" s="207"/>
      <c r="B387" s="196"/>
      <c r="C387" s="13"/>
      <c r="D387" s="13"/>
      <c r="E387" s="13"/>
      <c r="F387" s="13"/>
    </row>
    <row r="388" spans="1:6" x14ac:dyDescent="0.25">
      <c r="A388" s="207"/>
      <c r="B388" s="196"/>
      <c r="C388" s="13"/>
      <c r="D388" s="13"/>
      <c r="E388" s="13"/>
      <c r="F388" s="13"/>
    </row>
    <row r="389" spans="1:6" x14ac:dyDescent="0.25">
      <c r="A389" s="207"/>
      <c r="B389" s="196"/>
      <c r="C389" s="13"/>
      <c r="D389" s="13"/>
      <c r="E389" s="13"/>
      <c r="F389" s="13"/>
    </row>
    <row r="390" spans="1:6" x14ac:dyDescent="0.25">
      <c r="A390" s="207"/>
      <c r="B390" s="196"/>
      <c r="C390" s="13"/>
      <c r="D390" s="13"/>
      <c r="E390" s="13"/>
      <c r="F390" s="13"/>
    </row>
    <row r="391" spans="1:6" x14ac:dyDescent="0.25">
      <c r="A391" s="207"/>
      <c r="B391" s="196"/>
      <c r="C391" s="13"/>
      <c r="D391" s="13"/>
      <c r="E391" s="13"/>
      <c r="F391" s="13"/>
    </row>
    <row r="392" spans="1:6" x14ac:dyDescent="0.25">
      <c r="A392" s="207"/>
      <c r="B392" s="196"/>
      <c r="C392" s="13"/>
      <c r="D392" s="13"/>
      <c r="E392" s="13"/>
      <c r="F392" s="13"/>
    </row>
    <row r="393" spans="1:6" x14ac:dyDescent="0.25">
      <c r="A393" s="207"/>
      <c r="B393" s="196"/>
      <c r="C393" s="13"/>
      <c r="D393" s="13"/>
      <c r="E393" s="13"/>
      <c r="F393" s="13"/>
    </row>
    <row r="394" spans="1:6" x14ac:dyDescent="0.25">
      <c r="A394" s="207"/>
      <c r="B394" s="196"/>
      <c r="C394" s="13"/>
      <c r="D394" s="13"/>
      <c r="E394" s="13"/>
      <c r="F394" s="13"/>
    </row>
    <row r="395" spans="1:6" x14ac:dyDescent="0.25">
      <c r="A395" s="207"/>
      <c r="B395" s="196"/>
      <c r="C395" s="13"/>
      <c r="D395" s="13"/>
      <c r="E395" s="13"/>
      <c r="F395" s="13"/>
    </row>
    <row r="396" spans="1:6" x14ac:dyDescent="0.25">
      <c r="A396" s="207"/>
      <c r="B396" s="196"/>
      <c r="C396" s="13"/>
      <c r="D396" s="13"/>
      <c r="E396" s="13"/>
      <c r="F396" s="13"/>
    </row>
    <row r="397" spans="1:6" x14ac:dyDescent="0.25">
      <c r="A397" s="207"/>
      <c r="B397" s="196"/>
      <c r="C397" s="13"/>
      <c r="D397" s="13"/>
      <c r="E397" s="13"/>
      <c r="F397" s="13"/>
    </row>
    <row r="398" spans="1:6" x14ac:dyDescent="0.25">
      <c r="A398" s="207"/>
      <c r="B398" s="196"/>
      <c r="C398" s="13"/>
      <c r="D398" s="13"/>
      <c r="E398" s="13"/>
      <c r="F398" s="13"/>
    </row>
    <row r="399" spans="1:6" x14ac:dyDescent="0.25">
      <c r="A399" s="207"/>
      <c r="B399" s="196"/>
      <c r="C399" s="13"/>
      <c r="D399" s="13"/>
      <c r="E399" s="13"/>
      <c r="F399" s="13"/>
    </row>
    <row r="400" spans="1:6" x14ac:dyDescent="0.25">
      <c r="A400" s="207"/>
      <c r="B400" s="196"/>
      <c r="C400" s="13"/>
      <c r="D400" s="13"/>
      <c r="E400" s="13"/>
      <c r="F400" s="13"/>
    </row>
    <row r="401" spans="1:6" x14ac:dyDescent="0.25">
      <c r="A401" s="207"/>
      <c r="B401" s="196"/>
      <c r="C401" s="13"/>
      <c r="D401" s="13"/>
      <c r="E401" s="13"/>
      <c r="F401" s="13"/>
    </row>
    <row r="402" spans="1:6" x14ac:dyDescent="0.25">
      <c r="A402" s="207"/>
      <c r="B402" s="196"/>
      <c r="C402" s="13"/>
      <c r="D402" s="13"/>
      <c r="E402" s="13"/>
      <c r="F402" s="13"/>
    </row>
    <row r="403" spans="1:6" x14ac:dyDescent="0.25">
      <c r="A403" s="207"/>
      <c r="B403" s="196"/>
      <c r="C403" s="13"/>
      <c r="D403" s="13"/>
      <c r="E403" s="13"/>
      <c r="F403" s="13"/>
    </row>
    <row r="404" spans="1:6" x14ac:dyDescent="0.25">
      <c r="A404" s="207"/>
      <c r="B404" s="196"/>
      <c r="C404" s="13"/>
      <c r="D404" s="13"/>
      <c r="E404" s="13"/>
      <c r="F404" s="13"/>
    </row>
    <row r="405" spans="1:6" x14ac:dyDescent="0.25">
      <c r="A405" s="207"/>
      <c r="B405" s="196"/>
      <c r="C405" s="13"/>
      <c r="D405" s="13"/>
      <c r="E405" s="13"/>
      <c r="F405" s="13"/>
    </row>
    <row r="406" spans="1:6" x14ac:dyDescent="0.25">
      <c r="A406" s="207"/>
      <c r="B406" s="196"/>
      <c r="C406" s="13"/>
      <c r="D406" s="13"/>
      <c r="E406" s="13"/>
      <c r="F406" s="13"/>
    </row>
    <row r="407" spans="1:6" x14ac:dyDescent="0.25">
      <c r="A407" s="207"/>
      <c r="B407" s="196"/>
      <c r="C407" s="13"/>
      <c r="D407" s="13"/>
      <c r="E407" s="13"/>
      <c r="F407" s="13"/>
    </row>
    <row r="408" spans="1:6" x14ac:dyDescent="0.25">
      <c r="A408" s="207"/>
      <c r="B408" s="196"/>
      <c r="C408" s="13"/>
      <c r="D408" s="13"/>
      <c r="E408" s="13"/>
      <c r="F408" s="13"/>
    </row>
    <row r="409" spans="1:6" x14ac:dyDescent="0.25">
      <c r="A409" s="207"/>
      <c r="B409" s="196"/>
      <c r="C409" s="13"/>
      <c r="D409" s="13"/>
      <c r="E409" s="13"/>
      <c r="F409" s="13"/>
    </row>
    <row r="410" spans="1:6" x14ac:dyDescent="0.25">
      <c r="A410" s="207"/>
      <c r="B410" s="196"/>
      <c r="C410" s="13"/>
      <c r="D410" s="13"/>
      <c r="E410" s="13"/>
      <c r="F410" s="13"/>
    </row>
    <row r="411" spans="1:6" x14ac:dyDescent="0.25">
      <c r="A411" s="207"/>
      <c r="B411" s="196"/>
      <c r="C411" s="13"/>
      <c r="D411" s="13"/>
      <c r="E411" s="13"/>
      <c r="F411" s="13"/>
    </row>
    <row r="412" spans="1:6" x14ac:dyDescent="0.25">
      <c r="A412" s="207"/>
      <c r="B412" s="196"/>
      <c r="C412" s="13"/>
      <c r="D412" s="13"/>
      <c r="E412" s="13"/>
      <c r="F412" s="13"/>
    </row>
    <row r="413" spans="1:6" x14ac:dyDescent="0.25">
      <c r="A413" s="207"/>
      <c r="B413" s="196"/>
      <c r="C413" s="13"/>
      <c r="D413" s="13"/>
      <c r="E413" s="13"/>
      <c r="F413" s="13"/>
    </row>
    <row r="414" spans="1:6" x14ac:dyDescent="0.25">
      <c r="A414" s="207"/>
      <c r="B414" s="196"/>
      <c r="C414" s="13"/>
      <c r="D414" s="13"/>
      <c r="E414" s="13"/>
      <c r="F414" s="13"/>
    </row>
    <row r="415" spans="1:6" x14ac:dyDescent="0.25">
      <c r="A415" s="207"/>
      <c r="B415" s="196"/>
      <c r="C415" s="13"/>
      <c r="D415" s="13"/>
      <c r="E415" s="13"/>
      <c r="F415" s="13"/>
    </row>
    <row r="416" spans="1:6" x14ac:dyDescent="0.25">
      <c r="A416" s="207"/>
      <c r="B416" s="196"/>
      <c r="C416" s="13"/>
      <c r="D416" s="13"/>
      <c r="E416" s="13"/>
      <c r="F416" s="13"/>
    </row>
    <row r="417" spans="1:6" x14ac:dyDescent="0.25">
      <c r="A417" s="207"/>
      <c r="B417" s="196"/>
      <c r="C417" s="13"/>
      <c r="D417" s="13"/>
      <c r="E417" s="13"/>
      <c r="F417" s="13"/>
    </row>
    <row r="418" spans="1:6" x14ac:dyDescent="0.25">
      <c r="A418" s="207"/>
      <c r="B418" s="196"/>
      <c r="C418" s="13"/>
      <c r="D418" s="13"/>
      <c r="E418" s="13"/>
      <c r="F418" s="13"/>
    </row>
    <row r="419" spans="1:6" x14ac:dyDescent="0.25">
      <c r="A419" s="207"/>
      <c r="B419" s="196"/>
      <c r="C419" s="13"/>
      <c r="D419" s="13"/>
      <c r="E419" s="13"/>
      <c r="F419" s="13"/>
    </row>
    <row r="420" spans="1:6" x14ac:dyDescent="0.25">
      <c r="A420" s="207"/>
      <c r="B420" s="196"/>
      <c r="C420" s="13"/>
      <c r="D420" s="13"/>
      <c r="E420" s="13"/>
      <c r="F420" s="13"/>
    </row>
    <row r="421" spans="1:6" x14ac:dyDescent="0.25">
      <c r="A421" s="207"/>
      <c r="B421" s="196"/>
      <c r="C421" s="13"/>
      <c r="D421" s="13"/>
      <c r="E421" s="13"/>
      <c r="F421" s="13"/>
    </row>
    <row r="422" spans="1:6" x14ac:dyDescent="0.25">
      <c r="A422" s="207"/>
      <c r="B422" s="196"/>
      <c r="C422" s="13"/>
      <c r="D422" s="13"/>
      <c r="E422" s="13"/>
      <c r="F422" s="13"/>
    </row>
    <row r="423" spans="1:6" x14ac:dyDescent="0.25">
      <c r="A423" s="207"/>
      <c r="B423" s="196"/>
      <c r="C423" s="13"/>
      <c r="D423" s="13"/>
      <c r="E423" s="13"/>
      <c r="F423" s="13"/>
    </row>
    <row r="424" spans="1:6" x14ac:dyDescent="0.25">
      <c r="A424" s="207"/>
      <c r="B424" s="196"/>
      <c r="C424" s="13"/>
      <c r="D424" s="13"/>
      <c r="E424" s="13"/>
      <c r="F424" s="13"/>
    </row>
    <row r="425" spans="1:6" x14ac:dyDescent="0.25">
      <c r="A425" s="207"/>
      <c r="B425" s="196"/>
      <c r="C425" s="13"/>
      <c r="D425" s="13"/>
      <c r="E425" s="13"/>
      <c r="F425" s="13"/>
    </row>
    <row r="426" spans="1:6" x14ac:dyDescent="0.25">
      <c r="A426" s="207"/>
      <c r="B426" s="196"/>
      <c r="C426" s="13"/>
      <c r="D426" s="13"/>
      <c r="E426" s="13"/>
      <c r="F426" s="13"/>
    </row>
    <row r="427" spans="1:6" x14ac:dyDescent="0.25">
      <c r="A427" s="207"/>
      <c r="B427" s="196"/>
      <c r="C427" s="13"/>
      <c r="D427" s="13"/>
      <c r="E427" s="13"/>
      <c r="F427" s="13"/>
    </row>
    <row r="428" spans="1:6" x14ac:dyDescent="0.25">
      <c r="A428" s="207"/>
      <c r="B428" s="196"/>
      <c r="C428" s="13"/>
      <c r="D428" s="13"/>
      <c r="E428" s="13"/>
      <c r="F428" s="13"/>
    </row>
    <row r="429" spans="1:6" x14ac:dyDescent="0.25">
      <c r="A429" s="207"/>
      <c r="B429" s="196"/>
      <c r="C429" s="13"/>
      <c r="D429" s="13"/>
      <c r="E429" s="13"/>
      <c r="F429" s="13"/>
    </row>
    <row r="430" spans="1:6" x14ac:dyDescent="0.25">
      <c r="A430" s="207"/>
      <c r="B430" s="196"/>
      <c r="C430" s="13"/>
      <c r="D430" s="13"/>
      <c r="E430" s="13"/>
      <c r="F430" s="13"/>
    </row>
    <row r="431" spans="1:6" x14ac:dyDescent="0.25">
      <c r="A431" s="207"/>
      <c r="B431" s="196"/>
      <c r="C431" s="13"/>
      <c r="D431" s="13"/>
      <c r="E431" s="13"/>
      <c r="F431" s="13"/>
    </row>
    <row r="432" spans="1:6" x14ac:dyDescent="0.25">
      <c r="A432" s="207"/>
      <c r="B432" s="196"/>
      <c r="C432" s="13"/>
      <c r="D432" s="13"/>
      <c r="E432" s="13"/>
      <c r="F432" s="13"/>
    </row>
    <row r="433" spans="1:6" x14ac:dyDescent="0.25">
      <c r="A433" s="207"/>
      <c r="B433" s="196"/>
      <c r="C433" s="13"/>
      <c r="D433" s="13"/>
      <c r="E433" s="13"/>
      <c r="F433" s="13"/>
    </row>
    <row r="434" spans="1:6" x14ac:dyDescent="0.25">
      <c r="A434" s="207"/>
      <c r="B434" s="196"/>
      <c r="C434" s="13"/>
      <c r="D434" s="13"/>
      <c r="E434" s="13"/>
      <c r="F434" s="13"/>
    </row>
    <row r="435" spans="1:6" x14ac:dyDescent="0.25">
      <c r="A435" s="207"/>
      <c r="B435" s="196"/>
      <c r="C435" s="13"/>
      <c r="D435" s="13"/>
      <c r="E435" s="13"/>
      <c r="F435" s="13"/>
    </row>
    <row r="436" spans="1:6" x14ac:dyDescent="0.25">
      <c r="A436" s="207"/>
      <c r="B436" s="196"/>
      <c r="C436" s="13"/>
      <c r="D436" s="13"/>
      <c r="E436" s="13"/>
      <c r="F436" s="13"/>
    </row>
    <row r="437" spans="1:6" x14ac:dyDescent="0.25">
      <c r="A437" s="207"/>
      <c r="B437" s="196"/>
      <c r="C437" s="13"/>
      <c r="D437" s="13"/>
      <c r="E437" s="13"/>
      <c r="F437" s="13"/>
    </row>
    <row r="438" spans="1:6" x14ac:dyDescent="0.25">
      <c r="A438" s="207"/>
      <c r="B438" s="196"/>
      <c r="C438" s="13"/>
      <c r="D438" s="13"/>
      <c r="E438" s="13"/>
      <c r="F438" s="13"/>
    </row>
  </sheetData>
  <mergeCells count="2">
    <mergeCell ref="B3:D3"/>
    <mergeCell ref="B2:D2"/>
  </mergeCells>
  <dataValidations count="9">
    <dataValidation allowBlank="1" showInputMessage="1" showErrorMessage="1" promptTitle="Date" prompt="Enter the date the defect was found in any valid Excel date format. A default value of today is entered when the cell is selected." sqref="A6" xr:uid="{00000000-0002-0000-1100-000000000000}">
      <formula1>0</formula1>
      <formula2>0</formula2>
    </dataValidation>
    <dataValidation allowBlank="1" showInputMessage="1" showErrorMessage="1" promptTitle="Number" prompt="DO NOT ENTER DATA HERE. The defect number is calculated automatically." sqref="B6" xr:uid="{00000000-0002-0000-1100-000001000000}">
      <formula1>0</formula1>
      <formula2>0</formula2>
    </dataValidation>
    <dataValidation allowBlank="1" showInputMessage="1" showErrorMessage="1" promptTitle="Defect Type" prompt="Right click to select from the list of available defect types. See worksheet Defect Types to edit the list." sqref="C6" xr:uid="{00000000-0002-0000-1100-000002000000}">
      <formula1>0</formula1>
      <formula2>0</formula2>
    </dataValidation>
    <dataValidation allowBlank="1" showInputMessage="1" showErrorMessage="1" promptTitle="Assembly" prompt="Right click to select the assembly that the defect was found in." sqref="D6" xr:uid="{00000000-0002-0000-1100-000003000000}">
      <formula1>0</formula1>
      <formula2>0</formula2>
    </dataValidation>
    <dataValidation allowBlank="1" showInputMessage="1" showErrorMessage="1" promptTitle="Phase Injected" prompt="Right click to select the phase where the defect was injected." sqref="E6" xr:uid="{00000000-0002-0000-1100-000004000000}">
      <formula1>0</formula1>
      <formula2>0</formula2>
    </dataValidation>
    <dataValidation allowBlank="1" showInputMessage="1" showErrorMessage="1" promptTitle="Phase Removed" prompt="Right click to select the phase where the defect was removed." sqref="F6" xr:uid="{00000000-0002-0000-1100-000005000000}">
      <formula1>0</formula1>
      <formula2>0</formula2>
    </dataValidation>
    <dataValidation allowBlank="1" showInputMessage="1" showErrorMessage="1" promptTitle="Fix Time" prompt="Enter the fix time in minutes." sqref="G6" xr:uid="{00000000-0002-0000-1100-000006000000}">
      <formula1>0</formula1>
      <formula2>0</formula2>
    </dataValidation>
    <dataValidation allowBlank="1" showInputMessage="1" showErrorMessage="1" promptTitle="Fix Defect Reference" prompt="Enter a reference to an existing defect when a  new defect is injected while trying to fix an existing defect." sqref="H6" xr:uid="{00000000-0002-0000-1100-000007000000}">
      <formula1>0</formula1>
      <formula2>0</formula2>
    </dataValidation>
    <dataValidation allowBlank="1" showErrorMessage="1" sqref="B7:C7 E7:H7" xr:uid="{00000000-0002-0000-1100-000008000000}">
      <formula1>0</formula1>
      <formula2>0</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W37"/>
  <sheetViews>
    <sheetView topLeftCell="A16" workbookViewId="0"/>
  </sheetViews>
  <sheetFormatPr baseColWidth="10" defaultColWidth="11.44140625" defaultRowHeight="13.2" x14ac:dyDescent="0.25"/>
  <cols>
    <col min="1" max="1" width="20.6640625" style="208" customWidth="1"/>
    <col min="2" max="2" width="0.6640625" style="38" customWidth="1"/>
    <col min="3" max="3" width="8.6640625" style="208" customWidth="1"/>
    <col min="4" max="4" width="0.6640625" style="38" customWidth="1"/>
    <col min="5" max="5" width="32.6640625" style="208" customWidth="1"/>
    <col min="6" max="6" width="0.6640625" style="38" customWidth="1"/>
    <col min="7" max="7" width="8.6640625" style="208" customWidth="1"/>
    <col min="8" max="8" width="0.6640625" style="38" customWidth="1"/>
    <col min="9" max="9" width="8.6640625" style="209" customWidth="1"/>
    <col min="10" max="10" width="0.6640625" style="38" customWidth="1"/>
    <col min="11" max="11" width="8.6640625" style="209" customWidth="1"/>
    <col min="12" max="12" width="0.6640625" style="38" customWidth="1"/>
    <col min="13" max="13" width="8.6640625" style="209" customWidth="1"/>
    <col min="14" max="14" width="0.6640625" style="38" customWidth="1"/>
    <col min="15" max="15" width="8.6640625" style="208" customWidth="1"/>
    <col min="16" max="16" width="0.6640625" style="38" customWidth="1"/>
    <col min="17" max="17" width="8.6640625" style="210" customWidth="1"/>
    <col min="18" max="18" width="0.6640625" style="38" customWidth="1"/>
    <col min="19" max="19" width="11.44140625" style="210" customWidth="1"/>
    <col min="20" max="20" width="0.6640625" style="38" customWidth="1"/>
    <col min="21" max="21" width="8.6640625" style="210" customWidth="1"/>
    <col min="22" max="22" width="0.6640625" style="38" customWidth="1"/>
    <col min="23" max="23" width="11.5546875" style="210" customWidth="1"/>
    <col min="24" max="24" width="0.6640625" style="38" customWidth="1"/>
    <col min="25" max="25" width="12.44140625" style="210" customWidth="1"/>
    <col min="26" max="26" width="0.6640625" style="38" customWidth="1"/>
    <col min="27" max="257" width="11.44140625" style="38" customWidth="1"/>
  </cols>
  <sheetData>
    <row r="1" spans="1:26" ht="15.6" customHeight="1" x14ac:dyDescent="0.3">
      <c r="A1" s="87" t="str">
        <f>TSPProcessName&amp;" Week Summary - Form WEEK"</f>
        <v>TSPi Week Summary - Form WEEK</v>
      </c>
      <c r="C1" s="87"/>
      <c r="E1" s="87"/>
      <c r="G1" s="87"/>
      <c r="I1" s="211"/>
      <c r="K1" s="211"/>
      <c r="M1" s="211"/>
      <c r="O1" s="38"/>
      <c r="Q1" s="190"/>
      <c r="R1" s="211"/>
      <c r="S1" s="190"/>
      <c r="T1" s="211"/>
      <c r="U1" s="190"/>
      <c r="V1" s="211"/>
      <c r="W1" s="190"/>
      <c r="X1" s="211"/>
      <c r="Y1" s="190"/>
      <c r="Z1" s="211"/>
    </row>
    <row r="2" spans="1:26" x14ac:dyDescent="0.25">
      <c r="A2" s="88" t="s">
        <v>312</v>
      </c>
      <c r="B2" s="52"/>
      <c r="C2" s="289" t="str">
        <f>IF(Name=0,"",Name)</f>
        <v>Catálogo de Productos de Belleza Be Beautiful</v>
      </c>
      <c r="D2" s="290"/>
      <c r="E2" s="290"/>
      <c r="F2" s="52"/>
      <c r="G2" s="211"/>
      <c r="H2" s="52"/>
      <c r="I2" s="211"/>
      <c r="K2" s="211"/>
      <c r="L2" s="52"/>
      <c r="M2" s="212" t="s">
        <v>314</v>
      </c>
      <c r="N2" s="52"/>
      <c r="O2" s="213">
        <f>currentDate</f>
        <v>46196</v>
      </c>
      <c r="Q2" s="190"/>
      <c r="R2" s="52"/>
      <c r="S2" s="190"/>
      <c r="T2" s="211"/>
      <c r="U2" s="190"/>
      <c r="V2" s="211"/>
      <c r="W2" s="190"/>
      <c r="X2" s="211"/>
      <c r="Y2" s="190"/>
    </row>
    <row r="3" spans="1:26" x14ac:dyDescent="0.25">
      <c r="A3" s="88" t="s">
        <v>14</v>
      </c>
      <c r="B3" s="52"/>
      <c r="C3" s="294" t="str">
        <f>IF(TeamName=0,"",TeamName)</f>
        <v>Subgrupo 4</v>
      </c>
      <c r="D3" s="295"/>
      <c r="E3" s="295"/>
      <c r="F3" s="52"/>
      <c r="G3" s="211"/>
      <c r="H3" s="52"/>
      <c r="I3" s="211"/>
      <c r="K3" s="211"/>
      <c r="L3" s="52"/>
      <c r="M3" s="212" t="str">
        <f>IF(Project!C5&lt;&gt;"",Project!C5,"")</f>
        <v>Instructor</v>
      </c>
      <c r="N3" s="52"/>
      <c r="O3" s="90" t="str">
        <f>IF(InstructorName=0,"",InstructorName)</f>
        <v>Martinez, Natalia</v>
      </c>
      <c r="Q3" s="190"/>
      <c r="R3" s="52"/>
      <c r="S3" s="190"/>
      <c r="T3" s="211"/>
      <c r="U3" s="190"/>
      <c r="V3" s="211"/>
      <c r="W3" s="190"/>
      <c r="X3" s="211"/>
      <c r="Y3" s="190"/>
    </row>
    <row r="4" spans="1:26" ht="15.75" customHeight="1" x14ac:dyDescent="0.25">
      <c r="A4" s="88" t="s">
        <v>751</v>
      </c>
      <c r="B4" s="52"/>
      <c r="C4" s="214">
        <v>5</v>
      </c>
      <c r="D4" s="52"/>
      <c r="E4" s="92" t="s">
        <v>752</v>
      </c>
      <c r="F4" s="52"/>
      <c r="G4" s="211"/>
      <c r="H4" s="52"/>
      <c r="I4" s="211"/>
      <c r="J4" s="52"/>
      <c r="K4" s="215"/>
      <c r="L4" s="52"/>
      <c r="M4" s="212" t="s">
        <v>326</v>
      </c>
      <c r="N4" s="52"/>
      <c r="O4" s="89" t="s">
        <v>408</v>
      </c>
      <c r="Q4" s="190"/>
      <c r="R4" s="52"/>
      <c r="S4" s="190"/>
      <c r="T4" s="211"/>
      <c r="U4" s="190"/>
      <c r="V4" s="211"/>
      <c r="W4" s="190"/>
      <c r="X4" s="211"/>
      <c r="Y4" s="190"/>
    </row>
    <row r="5" spans="1:26" x14ac:dyDescent="0.25">
      <c r="A5" s="49" t="s">
        <v>753</v>
      </c>
      <c r="B5" s="216"/>
      <c r="C5" s="266">
        <v>46196</v>
      </c>
      <c r="D5" s="216"/>
      <c r="E5" s="90" t="s">
        <v>754</v>
      </c>
      <c r="F5" s="52"/>
      <c r="G5" s="211"/>
      <c r="H5" s="216"/>
      <c r="I5" s="216"/>
      <c r="J5" s="216"/>
      <c r="K5" s="211"/>
      <c r="M5" s="217"/>
      <c r="O5" s="92"/>
      <c r="Q5" s="218"/>
      <c r="S5" s="190"/>
      <c r="T5" s="211"/>
      <c r="U5" s="190"/>
      <c r="V5" s="211"/>
      <c r="W5" s="190"/>
      <c r="X5" s="211"/>
      <c r="Y5" s="190"/>
    </row>
    <row r="6" spans="1:26" ht="24" customHeight="1" x14ac:dyDescent="0.25">
      <c r="A6" s="88" t="s">
        <v>755</v>
      </c>
      <c r="C6" s="91"/>
      <c r="E6" s="88" t="s">
        <v>756</v>
      </c>
      <c r="F6" s="91"/>
      <c r="G6" s="217" t="s">
        <v>306</v>
      </c>
      <c r="I6" s="92" t="s">
        <v>307</v>
      </c>
      <c r="K6" s="219" t="s">
        <v>757</v>
      </c>
      <c r="M6" s="219" t="s">
        <v>758</v>
      </c>
      <c r="O6" s="302" t="s">
        <v>759</v>
      </c>
      <c r="P6" s="292"/>
      <c r="Q6" s="303"/>
      <c r="S6" s="190"/>
      <c r="T6" s="211"/>
      <c r="U6" s="190"/>
      <c r="V6" s="211"/>
      <c r="W6" s="190"/>
      <c r="X6" s="211"/>
      <c r="Y6" s="190"/>
    </row>
    <row r="7" spans="1:26" x14ac:dyDescent="0.25">
      <c r="A7" s="58" t="s">
        <v>760</v>
      </c>
      <c r="C7" s="93">
        <v>0</v>
      </c>
      <c r="E7" s="58" t="s">
        <v>761</v>
      </c>
      <c r="F7" s="39"/>
      <c r="G7" s="93">
        <v>29</v>
      </c>
      <c r="I7" s="93">
        <v>30.2</v>
      </c>
      <c r="K7" s="100">
        <v>0.96026490066225167</v>
      </c>
      <c r="M7" s="93">
        <v>-1.2</v>
      </c>
      <c r="O7" s="58" t="s">
        <v>760</v>
      </c>
      <c r="Q7" s="267">
        <v>46196</v>
      </c>
      <c r="S7" s="190"/>
      <c r="T7" s="211"/>
      <c r="U7" s="190"/>
      <c r="V7" s="211"/>
      <c r="W7" s="190"/>
      <c r="X7" s="211"/>
      <c r="Y7" s="190"/>
    </row>
    <row r="8" spans="1:26" x14ac:dyDescent="0.25">
      <c r="A8" s="58" t="s">
        <v>762</v>
      </c>
      <c r="C8" s="93">
        <v>0</v>
      </c>
      <c r="E8" s="58" t="s">
        <v>763</v>
      </c>
      <c r="F8" s="39"/>
      <c r="G8" s="93">
        <v>93.1</v>
      </c>
      <c r="I8" s="93">
        <v>97.5</v>
      </c>
      <c r="K8" s="100">
        <v>0.95487179487179485</v>
      </c>
      <c r="M8" s="93">
        <v>-4.4000000000000004</v>
      </c>
      <c r="O8" s="58" t="s">
        <v>306</v>
      </c>
      <c r="Q8" s="267">
        <v>46196</v>
      </c>
      <c r="S8" s="190"/>
      <c r="T8" s="211"/>
      <c r="U8" s="190"/>
      <c r="V8" s="211"/>
      <c r="W8" s="190"/>
      <c r="X8" s="211"/>
      <c r="Y8" s="190"/>
    </row>
    <row r="9" spans="1:26" x14ac:dyDescent="0.25">
      <c r="A9" s="58" t="s">
        <v>764</v>
      </c>
      <c r="C9" s="94" t="str">
        <f>IF(C7&lt;&gt;0,(C8-C7)/C7,"")</f>
        <v/>
      </c>
      <c r="E9" s="58" t="s">
        <v>765</v>
      </c>
      <c r="F9" s="39"/>
      <c r="G9" s="93">
        <v>27.8</v>
      </c>
      <c r="I9" s="93">
        <v>27.8</v>
      </c>
      <c r="K9" s="100">
        <v>1</v>
      </c>
      <c r="M9" s="93">
        <v>0</v>
      </c>
      <c r="O9" s="58" t="s">
        <v>766</v>
      </c>
      <c r="Q9" s="220"/>
      <c r="S9" s="190"/>
      <c r="T9" s="211"/>
      <c r="U9" s="190"/>
      <c r="V9" s="211"/>
      <c r="W9" s="190"/>
      <c r="X9" s="211"/>
      <c r="Y9" s="190"/>
    </row>
    <row r="10" spans="1:26" x14ac:dyDescent="0.25">
      <c r="A10" s="58"/>
      <c r="B10" s="58"/>
      <c r="C10" s="58"/>
      <c r="E10" s="58" t="s">
        <v>767</v>
      </c>
      <c r="F10" s="39"/>
      <c r="G10" s="93">
        <v>90.6</v>
      </c>
      <c r="I10" s="93">
        <v>90.6</v>
      </c>
      <c r="K10" s="100">
        <v>1</v>
      </c>
      <c r="M10" s="93">
        <v>0</v>
      </c>
      <c r="O10" s="92"/>
      <c r="Q10" s="218"/>
      <c r="S10" s="190"/>
      <c r="T10" s="211"/>
      <c r="U10" s="190"/>
      <c r="V10" s="211"/>
      <c r="W10" s="190"/>
      <c r="X10" s="211"/>
      <c r="Y10" s="190"/>
    </row>
    <row r="11" spans="1:26" x14ac:dyDescent="0.25">
      <c r="A11" s="58"/>
      <c r="B11" s="58"/>
      <c r="C11" s="58"/>
      <c r="E11" s="58" t="s">
        <v>768</v>
      </c>
      <c r="F11" s="39"/>
      <c r="G11" s="93">
        <v>93.1</v>
      </c>
      <c r="I11" s="93">
        <v>97.5</v>
      </c>
      <c r="K11" s="100">
        <v>0.95487179487179485</v>
      </c>
      <c r="M11" s="217"/>
      <c r="O11" s="92"/>
      <c r="Q11" s="218"/>
      <c r="S11" s="190"/>
      <c r="T11" s="211"/>
      <c r="U11" s="190"/>
      <c r="V11" s="211"/>
      <c r="W11" s="190"/>
      <c r="X11" s="211"/>
      <c r="Y11" s="190"/>
    </row>
    <row r="12" spans="1:26" x14ac:dyDescent="0.25">
      <c r="A12" s="58"/>
      <c r="B12" s="58"/>
      <c r="C12" s="58"/>
      <c r="E12" s="58" t="s">
        <v>769</v>
      </c>
      <c r="G12" s="209">
        <v>23.274999999999999</v>
      </c>
      <c r="I12" s="209">
        <v>24.375</v>
      </c>
      <c r="K12" s="221">
        <v>0.95487179487179485</v>
      </c>
      <c r="M12" s="217"/>
      <c r="O12" s="92"/>
      <c r="Q12" s="218"/>
      <c r="S12" s="190"/>
      <c r="T12" s="211"/>
      <c r="U12" s="190"/>
      <c r="V12" s="211"/>
      <c r="W12" s="190"/>
      <c r="X12" s="211"/>
      <c r="Y12" s="190"/>
    </row>
    <row r="13" spans="1:26" x14ac:dyDescent="0.25">
      <c r="A13" s="38"/>
      <c r="C13" s="38"/>
      <c r="E13" s="58" t="s">
        <v>770</v>
      </c>
      <c r="G13" s="222">
        <f>IF(G11&lt;&gt;0,I10/G11,"")</f>
        <v>0.97314715359828141</v>
      </c>
      <c r="I13" s="222">
        <f>IF(I11&lt;&gt;0,I10/I11,"")</f>
        <v>0.92923076923076919</v>
      </c>
      <c r="K13" s="211"/>
      <c r="M13" s="211"/>
      <c r="O13" s="38"/>
      <c r="Q13" s="190"/>
      <c r="S13" s="190"/>
      <c r="T13" s="211"/>
      <c r="U13" s="190"/>
      <c r="V13" s="211"/>
      <c r="W13" s="190"/>
      <c r="X13" s="211"/>
      <c r="Y13" s="190"/>
    </row>
    <row r="14" spans="1:26" ht="24" customHeight="1" x14ac:dyDescent="0.25">
      <c r="A14" s="91"/>
      <c r="C14" s="91"/>
      <c r="E14" s="91" t="s">
        <v>771</v>
      </c>
      <c r="G14" s="91"/>
      <c r="I14" s="219" t="s">
        <v>550</v>
      </c>
      <c r="K14" s="219" t="s">
        <v>553</v>
      </c>
      <c r="M14" s="219" t="s">
        <v>560</v>
      </c>
      <c r="O14" s="223" t="s">
        <v>556</v>
      </c>
      <c r="Q14" s="190"/>
    </row>
    <row r="15" spans="1:26" x14ac:dyDescent="0.25">
      <c r="A15" s="39"/>
      <c r="C15" s="39"/>
      <c r="E15" s="39" t="str">
        <f>Roles!A2</f>
        <v>Team Leader</v>
      </c>
      <c r="G15" s="39"/>
      <c r="I15" s="93">
        <v>9.1999999999999993</v>
      </c>
      <c r="K15" s="93">
        <v>10.199999999999999</v>
      </c>
      <c r="M15" s="93">
        <v>9.1999999999999993</v>
      </c>
      <c r="O15" s="93">
        <v>9.1999999999999993</v>
      </c>
      <c r="Q15" s="190"/>
    </row>
    <row r="16" spans="1:26" x14ac:dyDescent="0.25">
      <c r="A16" s="39"/>
      <c r="C16" s="39"/>
      <c r="E16" s="39" t="str">
        <f>Roles!A4</f>
        <v>Development Manager</v>
      </c>
      <c r="G16" s="39"/>
      <c r="I16" s="93">
        <v>33.200000000000003</v>
      </c>
      <c r="K16" s="93">
        <v>34.700000000000003</v>
      </c>
      <c r="M16" s="93">
        <v>33.200000000000003</v>
      </c>
      <c r="O16" s="93">
        <v>33.200000000000003</v>
      </c>
      <c r="Q16" s="190"/>
    </row>
    <row r="17" spans="1:25" x14ac:dyDescent="0.25">
      <c r="A17" s="39"/>
      <c r="C17" s="39"/>
      <c r="E17" s="39" t="str">
        <f>Roles!A6</f>
        <v>Planning Manager</v>
      </c>
      <c r="G17" s="39"/>
      <c r="I17" s="93">
        <v>23.2</v>
      </c>
      <c r="K17" s="93">
        <v>24</v>
      </c>
      <c r="M17" s="93">
        <v>23.2</v>
      </c>
      <c r="O17" s="93">
        <v>23.2</v>
      </c>
      <c r="Q17" s="190"/>
    </row>
    <row r="18" spans="1:25" x14ac:dyDescent="0.25">
      <c r="A18" s="39"/>
      <c r="C18" s="39"/>
      <c r="E18" s="39" t="str">
        <f>Roles!A8</f>
        <v>Quality/Process Manager</v>
      </c>
      <c r="G18" s="39"/>
      <c r="I18" s="93">
        <v>16.8</v>
      </c>
      <c r="K18" s="93">
        <v>17.8</v>
      </c>
      <c r="M18" s="93">
        <v>16.8</v>
      </c>
      <c r="O18" s="93">
        <v>16.8</v>
      </c>
      <c r="Q18" s="190"/>
    </row>
    <row r="19" spans="1:25" x14ac:dyDescent="0.25">
      <c r="A19" s="39"/>
      <c r="C19" s="39"/>
      <c r="E19" s="39" t="str">
        <f>Roles!A10</f>
        <v>Support Manager</v>
      </c>
      <c r="G19" s="39"/>
      <c r="I19" s="93">
        <v>10.7</v>
      </c>
      <c r="K19" s="93">
        <v>10.8</v>
      </c>
      <c r="M19" s="93">
        <v>10.7</v>
      </c>
      <c r="O19" s="93">
        <v>10.7</v>
      </c>
      <c r="Q19" s="190"/>
    </row>
    <row r="20" spans="1:25" x14ac:dyDescent="0.25">
      <c r="A20" s="39"/>
      <c r="C20" s="39"/>
      <c r="E20" s="39" t="str">
        <f>IF(Roles!A20&lt;&gt;"",Roles!A20,"")</f>
        <v>Developer / Tester de apoyo</v>
      </c>
      <c r="G20" s="39"/>
      <c r="I20" s="93"/>
      <c r="K20" s="93"/>
      <c r="M20" s="93"/>
      <c r="O20" s="93"/>
      <c r="Q20" s="190"/>
    </row>
    <row r="21" spans="1:25" x14ac:dyDescent="0.25">
      <c r="A21" s="38"/>
      <c r="C21" s="38"/>
      <c r="E21" s="38" t="s">
        <v>772</v>
      </c>
      <c r="G21" s="38"/>
      <c r="I21" s="93">
        <v>93.1</v>
      </c>
      <c r="K21" s="93">
        <v>97.5</v>
      </c>
      <c r="M21" s="93">
        <v>93.1</v>
      </c>
      <c r="O21" s="93">
        <v>93.1</v>
      </c>
      <c r="Q21" s="190"/>
    </row>
    <row r="22" spans="1:25" x14ac:dyDescent="0.25">
      <c r="A22" s="95"/>
      <c r="B22" s="95"/>
      <c r="C22" s="95"/>
      <c r="D22" s="95"/>
      <c r="E22" s="95"/>
      <c r="F22" s="95"/>
      <c r="G22" s="95"/>
      <c r="H22" s="95"/>
      <c r="I22" s="224"/>
      <c r="J22" s="95"/>
      <c r="K22" s="224"/>
      <c r="L22" s="95"/>
      <c r="M22" s="224"/>
      <c r="N22" s="95"/>
      <c r="O22" s="224"/>
      <c r="P22" s="95"/>
      <c r="Q22" s="225"/>
      <c r="R22" s="226"/>
      <c r="S22" s="225"/>
      <c r="T22" s="226"/>
      <c r="U22" s="225"/>
      <c r="V22" s="226"/>
      <c r="W22" s="225"/>
      <c r="X22" s="226"/>
      <c r="Y22" s="225"/>
    </row>
    <row r="23" spans="1:25" ht="54" customHeight="1" x14ac:dyDescent="0.25">
      <c r="A23" s="223" t="s">
        <v>773</v>
      </c>
      <c r="B23" s="227"/>
      <c r="C23" s="223" t="s">
        <v>308</v>
      </c>
      <c r="D23" s="227"/>
      <c r="E23" s="223" t="s">
        <v>30</v>
      </c>
      <c r="F23" s="227"/>
      <c r="G23" s="223" t="s">
        <v>774</v>
      </c>
      <c r="H23" s="227"/>
      <c r="I23" s="219" t="s">
        <v>775</v>
      </c>
      <c r="J23" s="227"/>
      <c r="K23" s="219" t="s">
        <v>776</v>
      </c>
      <c r="L23" s="227"/>
      <c r="M23" s="219" t="s">
        <v>777</v>
      </c>
      <c r="N23" s="227"/>
      <c r="O23" s="219" t="s">
        <v>778</v>
      </c>
      <c r="P23" s="227"/>
      <c r="Q23" s="228" t="s">
        <v>779</v>
      </c>
      <c r="R23" s="227"/>
      <c r="S23" s="228" t="s">
        <v>551</v>
      </c>
      <c r="T23" s="227"/>
      <c r="U23" s="228" t="s">
        <v>780</v>
      </c>
      <c r="V23" s="227"/>
      <c r="W23" s="228" t="s">
        <v>561</v>
      </c>
      <c r="Y23" s="228" t="s">
        <v>554</v>
      </c>
    </row>
    <row r="24" spans="1:25" x14ac:dyDescent="0.25">
      <c r="A24" s="90"/>
      <c r="C24" s="90" t="s">
        <v>569</v>
      </c>
      <c r="E24" s="90" t="s">
        <v>781</v>
      </c>
      <c r="G24" s="90" t="s">
        <v>494</v>
      </c>
      <c r="I24" s="93">
        <v>5</v>
      </c>
      <c r="K24" s="93">
        <v>5.4</v>
      </c>
      <c r="M24" s="93">
        <v>5</v>
      </c>
      <c r="O24" s="90">
        <v>0.4</v>
      </c>
      <c r="Q24" s="267">
        <v>46169</v>
      </c>
      <c r="S24" s="259">
        <v>46169</v>
      </c>
      <c r="W24" s="259">
        <v>46169</v>
      </c>
      <c r="Y24" s="259">
        <v>46169</v>
      </c>
    </row>
    <row r="25" spans="1:25" x14ac:dyDescent="0.25">
      <c r="A25" s="90"/>
      <c r="C25" s="90" t="s">
        <v>573</v>
      </c>
      <c r="E25" s="90" t="s">
        <v>782</v>
      </c>
      <c r="G25" s="90" t="s">
        <v>498</v>
      </c>
      <c r="I25" s="93">
        <v>2</v>
      </c>
      <c r="K25" s="93">
        <v>2.4</v>
      </c>
      <c r="M25" s="93">
        <v>2</v>
      </c>
      <c r="O25" s="90">
        <v>0.4</v>
      </c>
      <c r="Q25" s="267">
        <v>46170</v>
      </c>
      <c r="S25" s="259">
        <v>46170</v>
      </c>
      <c r="W25" s="259">
        <v>46170</v>
      </c>
      <c r="Y25" s="259">
        <v>46170</v>
      </c>
    </row>
    <row r="26" spans="1:25" x14ac:dyDescent="0.25">
      <c r="A26" s="90"/>
      <c r="C26" s="90" t="s">
        <v>581</v>
      </c>
      <c r="E26" s="90" t="s">
        <v>783</v>
      </c>
      <c r="G26" s="90" t="s">
        <v>784</v>
      </c>
      <c r="I26" s="93">
        <v>14</v>
      </c>
      <c r="K26" s="93">
        <v>14.8</v>
      </c>
      <c r="M26" s="93">
        <v>14</v>
      </c>
      <c r="O26" s="90">
        <v>0.8</v>
      </c>
      <c r="Q26" s="267">
        <v>46175</v>
      </c>
      <c r="S26" s="259">
        <v>46175</v>
      </c>
      <c r="W26" s="259">
        <v>46175</v>
      </c>
      <c r="Y26" s="259">
        <v>46175</v>
      </c>
    </row>
    <row r="27" spans="1:25" x14ac:dyDescent="0.25">
      <c r="A27" s="90"/>
      <c r="C27" s="90" t="s">
        <v>601</v>
      </c>
      <c r="E27" s="90" t="s">
        <v>785</v>
      </c>
      <c r="G27" s="90" t="s">
        <v>501</v>
      </c>
      <c r="I27" s="93">
        <v>9.5</v>
      </c>
      <c r="K27" s="93">
        <v>9.6999999999999993</v>
      </c>
      <c r="M27" s="93">
        <v>9.5</v>
      </c>
      <c r="O27" s="90">
        <v>0.2</v>
      </c>
      <c r="Q27" s="267">
        <v>46181</v>
      </c>
      <c r="S27" s="259">
        <v>46181</v>
      </c>
      <c r="W27" s="259">
        <v>46181</v>
      </c>
      <c r="Y27" s="259">
        <v>46181</v>
      </c>
    </row>
    <row r="28" spans="1:25" x14ac:dyDescent="0.25">
      <c r="A28" s="90"/>
      <c r="C28" s="90" t="s">
        <v>339</v>
      </c>
      <c r="E28" s="90" t="s">
        <v>786</v>
      </c>
      <c r="G28" s="90" t="s">
        <v>402</v>
      </c>
      <c r="I28" s="93">
        <v>20</v>
      </c>
      <c r="K28" s="93">
        <v>21.1</v>
      </c>
      <c r="M28" s="93">
        <v>20</v>
      </c>
      <c r="O28" s="90">
        <v>1.1000000000000001</v>
      </c>
      <c r="Q28" s="267">
        <v>46196</v>
      </c>
      <c r="S28" s="259">
        <v>46196</v>
      </c>
      <c r="W28" s="259">
        <v>46196</v>
      </c>
      <c r="Y28" s="259">
        <v>46196</v>
      </c>
    </row>
    <row r="29" spans="1:25" x14ac:dyDescent="0.25">
      <c r="G29" s="229"/>
      <c r="O29" s="221"/>
    </row>
    <row r="30" spans="1:25" x14ac:dyDescent="0.25">
      <c r="G30" s="229"/>
      <c r="O30" s="221"/>
    </row>
    <row r="31" spans="1:25" x14ac:dyDescent="0.25">
      <c r="G31" s="229"/>
    </row>
    <row r="32" spans="1:25" x14ac:dyDescent="0.25">
      <c r="G32" s="229"/>
      <c r="O32" s="221"/>
    </row>
    <row r="33" spans="7:15" x14ac:dyDescent="0.25">
      <c r="G33" s="229"/>
      <c r="O33" s="221"/>
    </row>
    <row r="34" spans="7:15" x14ac:dyDescent="0.25">
      <c r="G34" s="229"/>
    </row>
    <row r="35" spans="7:15" x14ac:dyDescent="0.25">
      <c r="G35" s="229"/>
    </row>
    <row r="36" spans="7:15" x14ac:dyDescent="0.25">
      <c r="G36" s="229"/>
    </row>
    <row r="37" spans="7:15" x14ac:dyDescent="0.25">
      <c r="G37" s="229"/>
    </row>
  </sheetData>
  <mergeCells count="3">
    <mergeCell ref="C2:E2"/>
    <mergeCell ref="C3:E3"/>
    <mergeCell ref="O6:Q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W66"/>
  <sheetViews>
    <sheetView workbookViewId="0"/>
  </sheetViews>
  <sheetFormatPr baseColWidth="10" defaultColWidth="11.44140625" defaultRowHeight="13.2" x14ac:dyDescent="0.25"/>
  <cols>
    <col min="1" max="1" width="6.6640625" style="230" customWidth="1"/>
    <col min="2" max="2" width="4.6640625" style="231" customWidth="1"/>
    <col min="3" max="3" width="7.6640625" style="231" customWidth="1"/>
    <col min="4" max="6" width="4.6640625" style="231" customWidth="1"/>
    <col min="7" max="7" width="5.6640625" style="231" customWidth="1"/>
    <col min="8" max="8" width="8.33203125" style="231" customWidth="1"/>
    <col min="9" max="10" width="32.6640625" style="23" customWidth="1"/>
    <col min="11" max="11" width="8.33203125" style="231" customWidth="1"/>
    <col min="12" max="12" width="1.6640625" style="2" customWidth="1"/>
    <col min="13" max="257" width="11.44140625" style="2" customWidth="1"/>
  </cols>
  <sheetData>
    <row r="1" spans="1:11" ht="15.6" customHeight="1" x14ac:dyDescent="0.3">
      <c r="A1" s="232" t="str">
        <f>TSPProcessName&amp;" Issue/Risk Tracking Log - Form IRTL"</f>
        <v>TSPi Issue/Risk Tracking Log - Form IRTL</v>
      </c>
      <c r="I1" s="233"/>
      <c r="J1" s="233"/>
    </row>
    <row r="2" spans="1:11" x14ac:dyDescent="0.25">
      <c r="A2" s="234" t="s">
        <v>312</v>
      </c>
      <c r="B2" s="304" t="str">
        <f>IF(Name=0,"",Name)</f>
        <v>Catálogo de Productos de Belleza Be Beautiful</v>
      </c>
      <c r="C2" s="290"/>
      <c r="D2" s="290"/>
      <c r="E2" s="290"/>
      <c r="F2" s="290"/>
      <c r="G2" s="88" t="s">
        <v>314</v>
      </c>
      <c r="H2" s="269">
        <v>46196</v>
      </c>
      <c r="I2" s="233"/>
      <c r="J2" s="233"/>
    </row>
    <row r="3" spans="1:11" x14ac:dyDescent="0.25">
      <c r="A3" s="234" t="s">
        <v>14</v>
      </c>
      <c r="B3" s="305" t="str">
        <f>IF(TeamName=0,"",TeamName)</f>
        <v>Subgrupo 4</v>
      </c>
      <c r="C3" s="295"/>
      <c r="D3" s="295"/>
      <c r="E3" s="295"/>
      <c r="F3" s="295"/>
      <c r="G3" s="88" t="str">
        <f>IF(Project!C5&lt;&gt;"",Project!C5,"")</f>
        <v>Instructor</v>
      </c>
      <c r="H3" s="236" t="str">
        <f>IF(InstructorName=0,"",InstructorName)</f>
        <v>Martinez, Natalia</v>
      </c>
      <c r="I3" s="233"/>
      <c r="J3" s="233"/>
    </row>
    <row r="4" spans="1:11" x14ac:dyDescent="0.25">
      <c r="A4" s="237"/>
      <c r="G4" s="88" t="s">
        <v>326</v>
      </c>
      <c r="H4" s="155" t="s">
        <v>408</v>
      </c>
      <c r="I4" s="233"/>
      <c r="J4" s="233"/>
    </row>
    <row r="5" spans="1:11" x14ac:dyDescent="0.25">
      <c r="A5" s="147"/>
      <c r="I5" s="233"/>
      <c r="J5" s="233"/>
    </row>
    <row r="6" spans="1:11" ht="47.25" customHeight="1" x14ac:dyDescent="0.25">
      <c r="A6" s="238" t="s">
        <v>787</v>
      </c>
      <c r="B6" s="66" t="s">
        <v>788</v>
      </c>
      <c r="C6" s="238" t="s">
        <v>789</v>
      </c>
      <c r="D6" s="66" t="s">
        <v>790</v>
      </c>
      <c r="E6" s="66" t="s">
        <v>791</v>
      </c>
      <c r="F6" s="66" t="s">
        <v>792</v>
      </c>
      <c r="G6" s="66" t="s">
        <v>478</v>
      </c>
      <c r="H6" s="66" t="s">
        <v>793</v>
      </c>
      <c r="I6" s="66" t="s">
        <v>2</v>
      </c>
      <c r="J6" s="66" t="s">
        <v>794</v>
      </c>
      <c r="K6" s="66" t="s">
        <v>795</v>
      </c>
    </row>
    <row r="7" spans="1:11" x14ac:dyDescent="0.25">
      <c r="A7" t="s">
        <v>796</v>
      </c>
      <c r="B7" s="239" t="s">
        <v>797</v>
      </c>
      <c r="C7" s="262">
        <v>46178</v>
      </c>
      <c r="D7" t="s">
        <v>798</v>
      </c>
      <c r="E7" t="s">
        <v>799</v>
      </c>
      <c r="F7" t="s">
        <v>800</v>
      </c>
      <c r="G7" t="s">
        <v>71</v>
      </c>
      <c r="H7" s="262">
        <v>46196</v>
      </c>
      <c r="I7" t="s">
        <v>636</v>
      </c>
      <c r="J7" t="s">
        <v>801</v>
      </c>
      <c r="K7" s="262">
        <v>46196</v>
      </c>
    </row>
    <row r="8" spans="1:11" x14ac:dyDescent="0.25">
      <c r="A8" t="s">
        <v>802</v>
      </c>
      <c r="B8" s="239" t="s">
        <v>797</v>
      </c>
      <c r="C8" s="262">
        <v>46178</v>
      </c>
      <c r="D8" t="s">
        <v>798</v>
      </c>
      <c r="E8" t="s">
        <v>799</v>
      </c>
      <c r="F8" t="s">
        <v>799</v>
      </c>
      <c r="G8" t="s">
        <v>71</v>
      </c>
      <c r="H8" s="262">
        <v>46196</v>
      </c>
      <c r="I8" t="s">
        <v>637</v>
      </c>
      <c r="J8" t="s">
        <v>803</v>
      </c>
      <c r="K8" s="262">
        <v>46196</v>
      </c>
    </row>
    <row r="9" spans="1:11" x14ac:dyDescent="0.25">
      <c r="A9" t="s">
        <v>804</v>
      </c>
      <c r="B9" s="239" t="s">
        <v>797</v>
      </c>
      <c r="C9" s="262">
        <v>46178</v>
      </c>
      <c r="D9" t="s">
        <v>798</v>
      </c>
      <c r="E9" t="s">
        <v>799</v>
      </c>
      <c r="F9" t="s">
        <v>800</v>
      </c>
      <c r="G9" t="s">
        <v>417</v>
      </c>
      <c r="H9" s="262">
        <v>46196</v>
      </c>
      <c r="I9" t="s">
        <v>638</v>
      </c>
      <c r="J9" t="s">
        <v>801</v>
      </c>
      <c r="K9" s="262">
        <v>46196</v>
      </c>
    </row>
    <row r="10" spans="1:11" x14ac:dyDescent="0.25">
      <c r="A10" t="s">
        <v>805</v>
      </c>
      <c r="B10" s="239" t="s">
        <v>797</v>
      </c>
      <c r="C10" s="262">
        <v>46178</v>
      </c>
      <c r="D10" t="s">
        <v>798</v>
      </c>
      <c r="E10" t="s">
        <v>800</v>
      </c>
      <c r="F10" t="s">
        <v>800</v>
      </c>
      <c r="G10" t="s">
        <v>420</v>
      </c>
      <c r="H10" s="262">
        <v>46196</v>
      </c>
      <c r="I10" t="s">
        <v>639</v>
      </c>
      <c r="J10" t="s">
        <v>801</v>
      </c>
      <c r="K10" s="262">
        <v>46196</v>
      </c>
    </row>
    <row r="11" spans="1:11" x14ac:dyDescent="0.25">
      <c r="A11" t="s">
        <v>806</v>
      </c>
      <c r="B11" s="239" t="s">
        <v>797</v>
      </c>
      <c r="C11" s="262">
        <v>46178</v>
      </c>
      <c r="D11" t="s">
        <v>798</v>
      </c>
      <c r="E11" t="s">
        <v>799</v>
      </c>
      <c r="F11" t="s">
        <v>800</v>
      </c>
      <c r="G11" t="s">
        <v>79</v>
      </c>
      <c r="H11" s="262">
        <v>46196</v>
      </c>
      <c r="I11" t="s">
        <v>640</v>
      </c>
      <c r="J11" t="s">
        <v>803</v>
      </c>
      <c r="K11" s="262">
        <v>46196</v>
      </c>
    </row>
    <row r="12" spans="1:11" x14ac:dyDescent="0.25">
      <c r="A12" t="s">
        <v>807</v>
      </c>
      <c r="B12" s="239" t="s">
        <v>797</v>
      </c>
      <c r="C12" s="262">
        <v>46178</v>
      </c>
      <c r="D12" t="s">
        <v>798</v>
      </c>
      <c r="E12" t="s">
        <v>808</v>
      </c>
      <c r="F12" t="s">
        <v>800</v>
      </c>
      <c r="G12" t="s">
        <v>420</v>
      </c>
      <c r="H12" s="262">
        <v>46196</v>
      </c>
      <c r="I12" t="s">
        <v>641</v>
      </c>
      <c r="J12" t="s">
        <v>803</v>
      </c>
      <c r="K12" s="262">
        <v>46196</v>
      </c>
    </row>
    <row r="13" spans="1:11" x14ac:dyDescent="0.25">
      <c r="A13" t="s">
        <v>809</v>
      </c>
      <c r="B13" s="239" t="s">
        <v>797</v>
      </c>
      <c r="C13" s="262">
        <v>46178</v>
      </c>
      <c r="D13" t="s">
        <v>798</v>
      </c>
      <c r="E13" t="s">
        <v>808</v>
      </c>
      <c r="F13" t="s">
        <v>800</v>
      </c>
      <c r="G13" t="s">
        <v>418</v>
      </c>
      <c r="H13" s="262">
        <v>46196</v>
      </c>
      <c r="I13" t="s">
        <v>642</v>
      </c>
      <c r="J13" t="s">
        <v>803</v>
      </c>
      <c r="K13" s="262">
        <v>46196</v>
      </c>
    </row>
    <row r="14" spans="1:11" x14ac:dyDescent="0.25">
      <c r="A14" t="s">
        <v>810</v>
      </c>
      <c r="B14" s="239" t="s">
        <v>797</v>
      </c>
      <c r="C14" s="262">
        <v>46178</v>
      </c>
      <c r="D14" t="s">
        <v>798</v>
      </c>
      <c r="E14" t="s">
        <v>799</v>
      </c>
      <c r="F14" t="s">
        <v>799</v>
      </c>
      <c r="G14" t="s">
        <v>417</v>
      </c>
      <c r="H14" s="262">
        <v>46196</v>
      </c>
      <c r="I14" t="s">
        <v>643</v>
      </c>
      <c r="J14" t="s">
        <v>803</v>
      </c>
      <c r="K14" s="262">
        <v>46196</v>
      </c>
    </row>
    <row r="15" spans="1:11" x14ac:dyDescent="0.25">
      <c r="A15" t="s">
        <v>811</v>
      </c>
      <c r="B15" s="239" t="s">
        <v>797</v>
      </c>
      <c r="C15" s="262">
        <v>46178</v>
      </c>
      <c r="D15" t="s">
        <v>798</v>
      </c>
      <c r="E15" t="s">
        <v>808</v>
      </c>
      <c r="F15" t="s">
        <v>800</v>
      </c>
      <c r="G15" t="s">
        <v>418</v>
      </c>
      <c r="H15" s="262">
        <v>46196</v>
      </c>
      <c r="I15" t="s">
        <v>644</v>
      </c>
      <c r="J15" t="s">
        <v>803</v>
      </c>
      <c r="K15" s="262">
        <v>46196</v>
      </c>
    </row>
    <row r="16" spans="1:11" x14ac:dyDescent="0.25">
      <c r="A16" t="s">
        <v>812</v>
      </c>
      <c r="B16" s="239" t="s">
        <v>797</v>
      </c>
      <c r="C16" s="262">
        <v>46178</v>
      </c>
      <c r="D16" t="s">
        <v>798</v>
      </c>
      <c r="E16" t="s">
        <v>808</v>
      </c>
      <c r="F16" t="s">
        <v>800</v>
      </c>
      <c r="G16" t="s">
        <v>71</v>
      </c>
      <c r="H16" s="262">
        <v>46196</v>
      </c>
      <c r="I16" t="s">
        <v>645</v>
      </c>
      <c r="J16" t="s">
        <v>803</v>
      </c>
      <c r="K16" s="262">
        <v>46196</v>
      </c>
    </row>
    <row r="17" spans="2:11" x14ac:dyDescent="0.25">
      <c r="B17" s="239"/>
      <c r="C17" s="240"/>
      <c r="H17" s="240"/>
      <c r="K17" s="240"/>
    </row>
    <row r="18" spans="2:11" x14ac:dyDescent="0.25">
      <c r="B18" s="239"/>
      <c r="C18" s="240"/>
      <c r="H18" s="240"/>
      <c r="K18" s="240"/>
    </row>
    <row r="19" spans="2:11" x14ac:dyDescent="0.25">
      <c r="B19" s="239"/>
      <c r="C19" s="240"/>
      <c r="H19" s="240"/>
      <c r="K19" s="240"/>
    </row>
    <row r="20" spans="2:11" x14ac:dyDescent="0.25">
      <c r="B20" s="239"/>
      <c r="C20" s="240"/>
      <c r="H20" s="240"/>
      <c r="K20" s="240"/>
    </row>
    <row r="21" spans="2:11" x14ac:dyDescent="0.25">
      <c r="B21" s="239"/>
      <c r="C21" s="240"/>
      <c r="H21" s="240"/>
      <c r="K21" s="240"/>
    </row>
    <row r="22" spans="2:11" x14ac:dyDescent="0.25">
      <c r="B22" s="239"/>
      <c r="C22" s="240"/>
      <c r="H22" s="240"/>
      <c r="K22" s="240"/>
    </row>
    <row r="23" spans="2:11" x14ac:dyDescent="0.25">
      <c r="B23" s="239"/>
      <c r="C23" s="240"/>
      <c r="H23" s="240"/>
      <c r="K23" s="240"/>
    </row>
    <row r="24" spans="2:11" x14ac:dyDescent="0.25">
      <c r="B24" s="239"/>
      <c r="C24" s="240"/>
      <c r="H24" s="240"/>
      <c r="K24" s="240"/>
    </row>
    <row r="25" spans="2:11" x14ac:dyDescent="0.25">
      <c r="B25" s="239"/>
      <c r="C25" s="240"/>
      <c r="H25" s="240"/>
      <c r="K25" s="240"/>
    </row>
    <row r="26" spans="2:11" x14ac:dyDescent="0.25">
      <c r="B26" s="239"/>
      <c r="C26" s="240"/>
      <c r="H26" s="240"/>
      <c r="K26" s="240"/>
    </row>
    <row r="27" spans="2:11" x14ac:dyDescent="0.25">
      <c r="B27" s="239"/>
      <c r="C27" s="240"/>
      <c r="H27" s="240"/>
      <c r="K27" s="240"/>
    </row>
    <row r="28" spans="2:11" x14ac:dyDescent="0.25">
      <c r="B28" s="239"/>
      <c r="C28" s="240"/>
      <c r="H28" s="240"/>
      <c r="K28" s="240"/>
    </row>
    <row r="29" spans="2:11" x14ac:dyDescent="0.25">
      <c r="B29" s="239"/>
      <c r="C29" s="240"/>
      <c r="H29" s="240"/>
      <c r="K29" s="240"/>
    </row>
    <row r="30" spans="2:11" x14ac:dyDescent="0.25">
      <c r="B30" s="239"/>
      <c r="C30" s="240"/>
      <c r="H30" s="240"/>
      <c r="K30" s="240"/>
    </row>
    <row r="31" spans="2:11" x14ac:dyDescent="0.25">
      <c r="B31" s="239"/>
      <c r="C31" s="240"/>
      <c r="H31" s="240"/>
      <c r="K31" s="240"/>
    </row>
    <row r="32" spans="2:11" x14ac:dyDescent="0.25">
      <c r="B32" s="239"/>
      <c r="C32" s="240"/>
      <c r="H32" s="240"/>
      <c r="K32" s="240"/>
    </row>
    <row r="33" spans="2:11" x14ac:dyDescent="0.25">
      <c r="B33" s="239"/>
      <c r="C33" s="240"/>
      <c r="H33" s="240"/>
      <c r="K33" s="240"/>
    </row>
    <row r="34" spans="2:11" x14ac:dyDescent="0.25">
      <c r="B34" s="239"/>
      <c r="C34" s="240"/>
      <c r="H34" s="240"/>
      <c r="K34" s="240"/>
    </row>
    <row r="35" spans="2:11" x14ac:dyDescent="0.25">
      <c r="B35" s="239"/>
      <c r="C35" s="240"/>
      <c r="H35" s="240"/>
      <c r="K35" s="240"/>
    </row>
    <row r="36" spans="2:11" x14ac:dyDescent="0.25">
      <c r="B36" s="239"/>
      <c r="C36" s="240"/>
      <c r="H36" s="240"/>
      <c r="K36" s="240"/>
    </row>
    <row r="37" spans="2:11" x14ac:dyDescent="0.25">
      <c r="B37" s="239"/>
      <c r="C37" s="240"/>
      <c r="H37" s="240"/>
      <c r="K37" s="240"/>
    </row>
    <row r="38" spans="2:11" x14ac:dyDescent="0.25">
      <c r="B38" s="239"/>
      <c r="C38" s="240"/>
      <c r="H38" s="240"/>
      <c r="K38" s="240"/>
    </row>
    <row r="39" spans="2:11" x14ac:dyDescent="0.25">
      <c r="B39" s="239"/>
      <c r="C39" s="240"/>
      <c r="H39" s="240"/>
      <c r="K39" s="240"/>
    </row>
    <row r="40" spans="2:11" x14ac:dyDescent="0.25">
      <c r="B40" s="239"/>
      <c r="C40" s="240"/>
      <c r="H40" s="240"/>
      <c r="K40" s="240"/>
    </row>
    <row r="41" spans="2:11" x14ac:dyDescent="0.25">
      <c r="B41" s="239"/>
      <c r="C41" s="240"/>
      <c r="H41" s="240"/>
      <c r="K41" s="240"/>
    </row>
    <row r="42" spans="2:11" x14ac:dyDescent="0.25">
      <c r="B42" s="239"/>
      <c r="C42" s="240"/>
      <c r="H42" s="240"/>
      <c r="K42" s="240"/>
    </row>
    <row r="43" spans="2:11" x14ac:dyDescent="0.25">
      <c r="B43" s="239"/>
      <c r="C43" s="240"/>
      <c r="H43" s="240"/>
      <c r="K43" s="240"/>
    </row>
    <row r="44" spans="2:11" x14ac:dyDescent="0.25">
      <c r="B44" s="239"/>
      <c r="C44" s="240"/>
      <c r="H44" s="240"/>
      <c r="K44" s="240"/>
    </row>
    <row r="45" spans="2:11" x14ac:dyDescent="0.25">
      <c r="B45" s="239"/>
      <c r="C45" s="240"/>
      <c r="H45" s="240"/>
      <c r="K45" s="240"/>
    </row>
    <row r="46" spans="2:11" x14ac:dyDescent="0.25">
      <c r="B46" s="239"/>
      <c r="C46" s="240"/>
      <c r="H46" s="240"/>
      <c r="K46" s="240"/>
    </row>
    <row r="47" spans="2:11" x14ac:dyDescent="0.25">
      <c r="B47" s="239"/>
      <c r="C47" s="240"/>
      <c r="H47" s="240"/>
      <c r="K47" s="240"/>
    </row>
    <row r="48" spans="2:11" x14ac:dyDescent="0.25">
      <c r="B48" s="239"/>
      <c r="C48" s="240"/>
      <c r="H48" s="240"/>
      <c r="K48" s="240"/>
    </row>
    <row r="49" spans="2:11" x14ac:dyDescent="0.25">
      <c r="B49" s="239"/>
      <c r="C49" s="240"/>
      <c r="H49" s="240"/>
      <c r="K49" s="240"/>
    </row>
    <row r="50" spans="2:11" x14ac:dyDescent="0.25">
      <c r="B50" s="239"/>
      <c r="C50" s="240"/>
      <c r="H50" s="240"/>
      <c r="K50" s="240"/>
    </row>
    <row r="51" spans="2:11" x14ac:dyDescent="0.25">
      <c r="B51" s="239"/>
      <c r="C51" s="240"/>
      <c r="H51" s="240"/>
      <c r="K51" s="240"/>
    </row>
    <row r="52" spans="2:11" x14ac:dyDescent="0.25">
      <c r="B52" s="239"/>
      <c r="C52" s="240"/>
      <c r="H52" s="240"/>
      <c r="K52" s="240"/>
    </row>
    <row r="53" spans="2:11" x14ac:dyDescent="0.25">
      <c r="B53" s="239"/>
      <c r="C53" s="240"/>
      <c r="H53" s="240"/>
      <c r="K53" s="240"/>
    </row>
    <row r="54" spans="2:11" x14ac:dyDescent="0.25">
      <c r="B54" s="239"/>
      <c r="C54" s="240"/>
      <c r="H54" s="240"/>
      <c r="K54" s="240"/>
    </row>
    <row r="55" spans="2:11" x14ac:dyDescent="0.25">
      <c r="B55" s="239"/>
      <c r="C55" s="240"/>
      <c r="H55" s="240"/>
      <c r="K55" s="240"/>
    </row>
    <row r="56" spans="2:11" x14ac:dyDescent="0.25">
      <c r="B56" s="239"/>
      <c r="C56" s="240"/>
      <c r="H56" s="240"/>
      <c r="K56" s="240"/>
    </row>
    <row r="57" spans="2:11" x14ac:dyDescent="0.25">
      <c r="B57" s="239"/>
      <c r="C57" s="240"/>
      <c r="H57" s="240"/>
      <c r="K57" s="240"/>
    </row>
    <row r="58" spans="2:11" x14ac:dyDescent="0.25">
      <c r="B58" s="239"/>
      <c r="C58" s="240"/>
      <c r="H58" s="240"/>
      <c r="K58" s="240"/>
    </row>
    <row r="59" spans="2:11" x14ac:dyDescent="0.25">
      <c r="B59" s="239"/>
      <c r="C59" s="240"/>
      <c r="H59" s="240"/>
      <c r="K59" s="240"/>
    </row>
    <row r="60" spans="2:11" x14ac:dyDescent="0.25">
      <c r="B60" s="239"/>
      <c r="C60" s="240"/>
      <c r="H60" s="240"/>
      <c r="K60" s="240"/>
    </row>
    <row r="61" spans="2:11" x14ac:dyDescent="0.25">
      <c r="B61" s="239"/>
      <c r="C61" s="240"/>
      <c r="H61" s="240"/>
      <c r="K61" s="240"/>
    </row>
    <row r="62" spans="2:11" x14ac:dyDescent="0.25">
      <c r="C62" s="239"/>
    </row>
    <row r="63" spans="2:11" x14ac:dyDescent="0.25">
      <c r="C63" s="239"/>
    </row>
    <row r="64" spans="2:11" x14ac:dyDescent="0.25">
      <c r="C64" s="239"/>
    </row>
    <row r="65" spans="3:3" x14ac:dyDescent="0.25">
      <c r="C65" s="239"/>
    </row>
    <row r="66" spans="3:3" x14ac:dyDescent="0.25">
      <c r="C66" s="239"/>
    </row>
  </sheetData>
  <mergeCells count="2">
    <mergeCell ref="B2:F2"/>
    <mergeCell ref="B3:F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W12"/>
  <sheetViews>
    <sheetView workbookViewId="0"/>
  </sheetViews>
  <sheetFormatPr baseColWidth="10" defaultColWidth="11.44140625" defaultRowHeight="13.2" x14ac:dyDescent="0.25"/>
  <cols>
    <col min="1" max="1" width="9.6640625" style="241" customWidth="1"/>
    <col min="2" max="2" width="1" style="2" customWidth="1"/>
    <col min="3" max="3" width="5.6640625" style="241" customWidth="1"/>
    <col min="4" max="4" width="1" style="2" customWidth="1"/>
    <col min="5" max="5" width="5.6640625" style="241" customWidth="1"/>
    <col min="6" max="6" width="1" style="2" customWidth="1"/>
    <col min="7" max="7" width="30.6640625" style="242" customWidth="1"/>
    <col min="8" max="8" width="1" style="2" customWidth="1"/>
    <col min="9" max="9" width="30.6640625" style="242" customWidth="1"/>
    <col min="10" max="10" width="1.6640625" style="2" customWidth="1"/>
    <col min="11" max="257" width="11.44140625" style="2" customWidth="1"/>
  </cols>
  <sheetData>
    <row r="1" spans="1:9" ht="15.6" customHeight="1" x14ac:dyDescent="0.3">
      <c r="A1" s="87" t="str">
        <f>TSPProcessName&amp;" Issue Risk Week Summary - Form IRWEEK"</f>
        <v>TSPi Issue Risk Week Summary - Form IRWEEK</v>
      </c>
    </row>
    <row r="2" spans="1:9" x14ac:dyDescent="0.25">
      <c r="A2" s="49" t="s">
        <v>312</v>
      </c>
      <c r="C2" s="304" t="str">
        <f>IF(Name=0,"",Name)</f>
        <v>Catálogo de Productos de Belleza Be Beautiful</v>
      </c>
      <c r="D2" s="290"/>
      <c r="E2" s="290"/>
      <c r="F2" s="290"/>
      <c r="H2" s="243" t="s">
        <v>314</v>
      </c>
      <c r="I2" s="256">
        <v>46196</v>
      </c>
    </row>
    <row r="3" spans="1:9" x14ac:dyDescent="0.25">
      <c r="A3" s="49" t="s">
        <v>14</v>
      </c>
      <c r="C3" s="305" t="str">
        <f>IF(TeamName=0,"",TeamName)</f>
        <v>Subgrupo 4</v>
      </c>
      <c r="D3" s="295"/>
      <c r="E3" s="295"/>
      <c r="F3" s="295"/>
      <c r="H3" s="243" t="str">
        <f>IF(Project!A5&lt;&gt;"",Project!A5,"")</f>
        <v>Team</v>
      </c>
      <c r="I3" s="235" t="str">
        <f>IF(InstructorName=0,"",InstructorName)</f>
        <v>Martinez, Natalia</v>
      </c>
    </row>
    <row r="4" spans="1:9" x14ac:dyDescent="0.25">
      <c r="A4" s="49" t="s">
        <v>611</v>
      </c>
      <c r="C4" s="236">
        <v>1</v>
      </c>
      <c r="D4">
        <v>5</v>
      </c>
      <c r="H4" s="243" t="s">
        <v>326</v>
      </c>
      <c r="I4" s="235" t="s">
        <v>408</v>
      </c>
    </row>
    <row r="6" spans="1:9" ht="60" customHeight="1" x14ac:dyDescent="0.25">
      <c r="A6" s="223" t="s">
        <v>813</v>
      </c>
      <c r="B6" s="91"/>
      <c r="C6" s="223" t="s">
        <v>814</v>
      </c>
      <c r="D6" s="91"/>
      <c r="E6" s="223" t="s">
        <v>815</v>
      </c>
      <c r="F6" s="91"/>
      <c r="G6" s="92" t="s">
        <v>2</v>
      </c>
      <c r="H6" s="91"/>
      <c r="I6" s="92" t="s">
        <v>816</v>
      </c>
    </row>
    <row r="7" spans="1:9" x14ac:dyDescent="0.25">
      <c r="A7" s="244" t="s">
        <v>796</v>
      </c>
      <c r="C7" s="244" t="s">
        <v>798</v>
      </c>
      <c r="E7" s="244" t="s">
        <v>797</v>
      </c>
      <c r="G7" s="245" t="s">
        <v>636</v>
      </c>
      <c r="I7" s="245" t="s">
        <v>817</v>
      </c>
    </row>
    <row r="8" spans="1:9" ht="20.399999999999999" customHeight="1" x14ac:dyDescent="0.25">
      <c r="A8" s="244" t="s">
        <v>802</v>
      </c>
      <c r="C8" s="244" t="s">
        <v>798</v>
      </c>
      <c r="E8" s="244" t="s">
        <v>797</v>
      </c>
      <c r="G8" s="245" t="s">
        <v>637</v>
      </c>
      <c r="I8" s="245" t="s">
        <v>411</v>
      </c>
    </row>
    <row r="9" spans="1:9" x14ac:dyDescent="0.25">
      <c r="A9" s="244" t="s">
        <v>804</v>
      </c>
      <c r="C9" s="244" t="s">
        <v>798</v>
      </c>
      <c r="E9" s="244" t="s">
        <v>797</v>
      </c>
      <c r="G9" s="245" t="s">
        <v>638</v>
      </c>
      <c r="I9" s="245" t="s">
        <v>817</v>
      </c>
    </row>
    <row r="10" spans="1:9" ht="20.399999999999999" customHeight="1" x14ac:dyDescent="0.25">
      <c r="A10" s="244" t="s">
        <v>805</v>
      </c>
      <c r="C10" s="244" t="s">
        <v>798</v>
      </c>
      <c r="E10" s="244" t="s">
        <v>797</v>
      </c>
      <c r="G10" s="245" t="s">
        <v>639</v>
      </c>
      <c r="I10" s="245" t="s">
        <v>817</v>
      </c>
    </row>
    <row r="11" spans="1:9" x14ac:dyDescent="0.25">
      <c r="A11" s="244" t="s">
        <v>806</v>
      </c>
      <c r="C11" s="244" t="s">
        <v>798</v>
      </c>
      <c r="E11" s="244" t="s">
        <v>797</v>
      </c>
      <c r="G11" s="245" t="s">
        <v>640</v>
      </c>
      <c r="I11" s="245" t="s">
        <v>411</v>
      </c>
    </row>
    <row r="12" spans="1:9" x14ac:dyDescent="0.25">
      <c r="A12" s="244" t="s">
        <v>807</v>
      </c>
      <c r="C12" s="244" t="s">
        <v>798</v>
      </c>
      <c r="E12" s="244" t="s">
        <v>797</v>
      </c>
      <c r="G12" s="245" t="s">
        <v>641</v>
      </c>
      <c r="I12" s="245" t="s">
        <v>411</v>
      </c>
    </row>
  </sheetData>
  <mergeCells count="2">
    <mergeCell ref="C2:F2"/>
    <mergeCell ref="C3:F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W37"/>
  <sheetViews>
    <sheetView workbookViewId="0"/>
  </sheetViews>
  <sheetFormatPr baseColWidth="10" defaultColWidth="11.44140625" defaultRowHeight="13.2" x14ac:dyDescent="0.25"/>
  <cols>
    <col min="1" max="1" width="5" style="13" customWidth="1"/>
    <col min="2" max="2" width="29.6640625" style="13" customWidth="1"/>
    <col min="3" max="257" width="11.44140625" style="2" customWidth="1"/>
  </cols>
  <sheetData>
    <row r="1" spans="1:2" x14ac:dyDescent="0.25">
      <c r="A1" s="65" t="s">
        <v>699</v>
      </c>
      <c r="B1" s="65" t="s">
        <v>2</v>
      </c>
    </row>
    <row r="2" spans="1:2" x14ac:dyDescent="0.25">
      <c r="A2" s="13">
        <v>10</v>
      </c>
      <c r="B2" s="13" t="s">
        <v>354</v>
      </c>
    </row>
    <row r="3" spans="1:2" x14ac:dyDescent="0.25">
      <c r="A3" s="13">
        <v>20</v>
      </c>
      <c r="B3" s="13" t="s">
        <v>818</v>
      </c>
    </row>
    <row r="4" spans="1:2" x14ac:dyDescent="0.25">
      <c r="A4" s="13">
        <v>30</v>
      </c>
      <c r="B4" s="13" t="s">
        <v>819</v>
      </c>
    </row>
    <row r="5" spans="1:2" x14ac:dyDescent="0.25">
      <c r="A5" s="13">
        <v>40</v>
      </c>
      <c r="B5" s="13" t="s">
        <v>820</v>
      </c>
    </row>
    <row r="6" spans="1:2" x14ac:dyDescent="0.25">
      <c r="A6" s="13">
        <v>50</v>
      </c>
      <c r="B6" s="13" t="s">
        <v>821</v>
      </c>
    </row>
    <row r="7" spans="1:2" x14ac:dyDescent="0.25">
      <c r="A7" s="13">
        <v>60</v>
      </c>
      <c r="B7" s="13" t="s">
        <v>822</v>
      </c>
    </row>
    <row r="8" spans="1:2" x14ac:dyDescent="0.25">
      <c r="A8" s="13">
        <v>70</v>
      </c>
      <c r="B8" s="13" t="s">
        <v>823</v>
      </c>
    </row>
    <row r="9" spans="1:2" x14ac:dyDescent="0.25">
      <c r="A9" s="13">
        <v>80</v>
      </c>
      <c r="B9" s="13" t="s">
        <v>824</v>
      </c>
    </row>
    <row r="10" spans="1:2" x14ac:dyDescent="0.25">
      <c r="A10" s="13">
        <v>90</v>
      </c>
      <c r="B10" s="13" t="s">
        <v>825</v>
      </c>
    </row>
    <row r="11" spans="1:2" x14ac:dyDescent="0.25">
      <c r="A11" s="13">
        <v>100</v>
      </c>
      <c r="B11" s="13" t="s">
        <v>826</v>
      </c>
    </row>
    <row r="37" spans="4:4" x14ac:dyDescent="0.25">
      <c r="D37" s="18"/>
    </row>
  </sheetData>
  <dataValidations count="3">
    <dataValidation allowBlank="1" showErrorMessage="1" sqref="B2" xr:uid="{00000000-0002-0000-1500-000000000000}">
      <formula1>0</formula1>
      <formula2>0</formula2>
    </dataValidation>
    <dataValidation allowBlank="1" showInputMessage="1" showErrorMessage="1" promptTitle="Defect Type" prompt="Enter the defect type number." sqref="A1" xr:uid="{00000000-0002-0000-1500-000001000000}">
      <formula1>0</formula1>
      <formula2>0</formula2>
    </dataValidation>
    <dataValidation allowBlank="1" showInputMessage="1" showErrorMessage="1" promptTitle="Defect Description" prompt="Enter a brief description of the defect." sqref="B1" xr:uid="{00000000-0002-0000-1500-000002000000}">
      <formula1>0</formula1>
      <formula2>0</formula2>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W44"/>
  <sheetViews>
    <sheetView workbookViewId="0"/>
  </sheetViews>
  <sheetFormatPr baseColWidth="10" defaultColWidth="11.44140625" defaultRowHeight="13.2" x14ac:dyDescent="0.25"/>
  <cols>
    <col min="1" max="1" width="8.6640625" style="119" customWidth="1"/>
    <col min="2" max="2" width="25.6640625" style="119" customWidth="1"/>
    <col min="3" max="6" width="7.6640625" style="246" customWidth="1"/>
    <col min="7" max="7" width="3.6640625" style="119" customWidth="1"/>
    <col min="8" max="8" width="6.109375" style="119" customWidth="1"/>
    <col min="9" max="9" width="7.6640625" style="119" customWidth="1"/>
    <col min="10" max="10" width="10.33203125" style="119" customWidth="1"/>
    <col min="11" max="12" width="7.44140625" style="119" customWidth="1"/>
    <col min="13" max="13" width="6.44140625" style="119" customWidth="1"/>
    <col min="14" max="15" width="5.6640625" style="119" customWidth="1"/>
    <col min="16" max="257" width="11.44140625" style="2" customWidth="1"/>
  </cols>
  <sheetData>
    <row r="1" spans="1:15" ht="51.6" customHeight="1" x14ac:dyDescent="0.25">
      <c r="A1" s="66" t="s">
        <v>308</v>
      </c>
      <c r="B1" s="66" t="s">
        <v>2</v>
      </c>
      <c r="C1" s="162" t="s">
        <v>827</v>
      </c>
      <c r="D1" s="162" t="s">
        <v>828</v>
      </c>
      <c r="E1" s="162" t="s">
        <v>829</v>
      </c>
      <c r="F1" s="162" t="s">
        <v>830</v>
      </c>
      <c r="G1" s="66" t="s">
        <v>831</v>
      </c>
      <c r="H1" s="66" t="s">
        <v>832</v>
      </c>
      <c r="I1" s="66" t="s">
        <v>833</v>
      </c>
      <c r="J1" s="66" t="s">
        <v>834</v>
      </c>
      <c r="K1" s="66" t="s">
        <v>835</v>
      </c>
      <c r="L1" s="66" t="s">
        <v>836</v>
      </c>
      <c r="M1" s="66" t="s">
        <v>837</v>
      </c>
      <c r="N1" s="66" t="s">
        <v>838</v>
      </c>
      <c r="O1" s="66" t="s">
        <v>839</v>
      </c>
    </row>
    <row r="2" spans="1:15" x14ac:dyDescent="0.25">
      <c r="A2" s="119" t="s">
        <v>573</v>
      </c>
      <c r="B2" s="119" t="s">
        <v>311</v>
      </c>
      <c r="C2" s="246" t="s">
        <v>840</v>
      </c>
      <c r="D2" s="246" t="s">
        <v>841</v>
      </c>
      <c r="E2" s="246" t="s">
        <v>842</v>
      </c>
      <c r="F2" s="246" t="s">
        <v>842</v>
      </c>
      <c r="G2" s="119" t="s">
        <v>842</v>
      </c>
      <c r="H2" s="119" t="s">
        <v>842</v>
      </c>
      <c r="K2" s="119" t="s">
        <v>842</v>
      </c>
      <c r="L2" s="119" t="s">
        <v>842</v>
      </c>
      <c r="M2" s="119" t="s">
        <v>842</v>
      </c>
      <c r="N2" s="119" t="s">
        <v>842</v>
      </c>
      <c r="O2" s="119" t="s">
        <v>842</v>
      </c>
    </row>
    <row r="3" spans="1:15" x14ac:dyDescent="0.25">
      <c r="A3" s="119" t="s">
        <v>843</v>
      </c>
      <c r="B3" s="119" t="s">
        <v>316</v>
      </c>
      <c r="C3" s="246" t="s">
        <v>840</v>
      </c>
      <c r="D3" s="246" t="s">
        <v>841</v>
      </c>
      <c r="E3" s="246" t="s">
        <v>842</v>
      </c>
      <c r="F3" s="246" t="s">
        <v>842</v>
      </c>
      <c r="G3" s="119" t="s">
        <v>842</v>
      </c>
      <c r="H3" s="119" t="s">
        <v>842</v>
      </c>
      <c r="K3" s="119" t="s">
        <v>842</v>
      </c>
      <c r="L3" s="119" t="s">
        <v>842</v>
      </c>
      <c r="M3" s="119" t="s">
        <v>842</v>
      </c>
      <c r="N3" s="119" t="s">
        <v>842</v>
      </c>
      <c r="O3" s="119" t="s">
        <v>842</v>
      </c>
    </row>
    <row r="4" spans="1:15" x14ac:dyDescent="0.25">
      <c r="A4" s="119" t="s">
        <v>601</v>
      </c>
      <c r="B4" s="119" t="s">
        <v>320</v>
      </c>
      <c r="C4" s="246" t="s">
        <v>840</v>
      </c>
      <c r="D4" s="246" t="s">
        <v>841</v>
      </c>
      <c r="E4" s="246" t="s">
        <v>841</v>
      </c>
      <c r="F4" s="246" t="s">
        <v>841</v>
      </c>
      <c r="G4" s="119" t="s">
        <v>842</v>
      </c>
      <c r="H4" s="119" t="s">
        <v>842</v>
      </c>
      <c r="K4" s="119" t="s">
        <v>842</v>
      </c>
      <c r="L4" s="119" t="s">
        <v>841</v>
      </c>
      <c r="M4" s="119" t="s">
        <v>841</v>
      </c>
      <c r="N4" s="119" t="s">
        <v>841</v>
      </c>
      <c r="O4" s="119" t="s">
        <v>841</v>
      </c>
    </row>
    <row r="5" spans="1:15" x14ac:dyDescent="0.25">
      <c r="A5" s="119" t="s">
        <v>710</v>
      </c>
      <c r="B5" s="119" t="s">
        <v>186</v>
      </c>
      <c r="C5" s="246" t="s">
        <v>840</v>
      </c>
      <c r="D5" s="246" t="s">
        <v>841</v>
      </c>
      <c r="E5" s="246" t="s">
        <v>841</v>
      </c>
      <c r="F5" s="246" t="s">
        <v>841</v>
      </c>
      <c r="G5" s="119" t="s">
        <v>842</v>
      </c>
      <c r="H5" s="119" t="s">
        <v>842</v>
      </c>
      <c r="K5" s="119" t="s">
        <v>842</v>
      </c>
      <c r="L5" s="119" t="s">
        <v>841</v>
      </c>
      <c r="M5" s="119" t="s">
        <v>842</v>
      </c>
      <c r="N5" s="119" t="s">
        <v>841</v>
      </c>
      <c r="O5" s="119" t="s">
        <v>841</v>
      </c>
    </row>
    <row r="6" spans="1:15" x14ac:dyDescent="0.25">
      <c r="A6" s="119" t="s">
        <v>596</v>
      </c>
      <c r="B6" s="119" t="s">
        <v>328</v>
      </c>
      <c r="C6" s="246" t="s">
        <v>840</v>
      </c>
      <c r="D6" s="246" t="s">
        <v>841</v>
      </c>
      <c r="E6" s="246" t="s">
        <v>841</v>
      </c>
      <c r="F6" s="246" t="s">
        <v>841</v>
      </c>
      <c r="G6" s="119" t="s">
        <v>842</v>
      </c>
      <c r="H6" s="119" t="s">
        <v>842</v>
      </c>
      <c r="K6" s="119" t="s">
        <v>842</v>
      </c>
      <c r="L6" s="119" t="s">
        <v>841</v>
      </c>
      <c r="M6" s="119" t="s">
        <v>842</v>
      </c>
      <c r="N6" s="119" t="s">
        <v>841</v>
      </c>
      <c r="O6" s="119" t="s">
        <v>841</v>
      </c>
    </row>
    <row r="7" spans="1:15" x14ac:dyDescent="0.25">
      <c r="A7" s="119" t="s">
        <v>844</v>
      </c>
      <c r="B7" s="119" t="s">
        <v>333</v>
      </c>
      <c r="C7" s="246" t="s">
        <v>840</v>
      </c>
      <c r="D7" s="246" t="s">
        <v>841</v>
      </c>
      <c r="E7" s="246" t="s">
        <v>841</v>
      </c>
      <c r="F7" s="246" t="s">
        <v>841</v>
      </c>
      <c r="G7" s="119" t="s">
        <v>842</v>
      </c>
      <c r="H7" s="119" t="s">
        <v>841</v>
      </c>
      <c r="J7" s="119" t="str">
        <f>B5</f>
        <v>Requirements</v>
      </c>
      <c r="K7" s="119" t="s">
        <v>841</v>
      </c>
      <c r="L7" s="119" t="s">
        <v>841</v>
      </c>
      <c r="M7" s="119" t="s">
        <v>842</v>
      </c>
      <c r="N7" s="119" t="s">
        <v>841</v>
      </c>
      <c r="O7" s="119" t="s">
        <v>841</v>
      </c>
    </row>
    <row r="8" spans="1:15" x14ac:dyDescent="0.25">
      <c r="A8" s="119" t="s">
        <v>581</v>
      </c>
      <c r="B8" s="119" t="s">
        <v>190</v>
      </c>
      <c r="C8" s="246" t="s">
        <v>840</v>
      </c>
      <c r="D8" s="246" t="s">
        <v>841</v>
      </c>
      <c r="E8" s="246" t="s">
        <v>841</v>
      </c>
      <c r="F8" s="246" t="s">
        <v>841</v>
      </c>
      <c r="G8" s="119" t="s">
        <v>842</v>
      </c>
      <c r="H8" s="119" t="s">
        <v>842</v>
      </c>
      <c r="K8" s="119" t="s">
        <v>842</v>
      </c>
      <c r="L8" s="119" t="s">
        <v>841</v>
      </c>
      <c r="M8" s="119" t="s">
        <v>842</v>
      </c>
      <c r="N8" s="119" t="s">
        <v>841</v>
      </c>
      <c r="O8" s="119" t="s">
        <v>841</v>
      </c>
    </row>
    <row r="9" spans="1:15" x14ac:dyDescent="0.25">
      <c r="A9" s="119" t="s">
        <v>845</v>
      </c>
      <c r="B9" s="119" t="s">
        <v>336</v>
      </c>
      <c r="C9" s="246" t="s">
        <v>840</v>
      </c>
      <c r="D9" s="246" t="s">
        <v>841</v>
      </c>
      <c r="E9" s="246" t="s">
        <v>841</v>
      </c>
      <c r="F9" s="246" t="s">
        <v>841</v>
      </c>
      <c r="G9" s="119" t="s">
        <v>842</v>
      </c>
      <c r="H9" s="119" t="s">
        <v>842</v>
      </c>
      <c r="K9" s="119" t="s">
        <v>842</v>
      </c>
      <c r="L9" s="119" t="s">
        <v>841</v>
      </c>
      <c r="M9" s="119" t="s">
        <v>842</v>
      </c>
      <c r="N9" s="119" t="s">
        <v>841</v>
      </c>
      <c r="O9" s="119" t="s">
        <v>841</v>
      </c>
    </row>
    <row r="10" spans="1:15" x14ac:dyDescent="0.25">
      <c r="A10" s="119" t="s">
        <v>846</v>
      </c>
      <c r="B10" s="119" t="s">
        <v>338</v>
      </c>
      <c r="C10" s="246" t="s">
        <v>840</v>
      </c>
      <c r="D10" s="246" t="s">
        <v>841</v>
      </c>
      <c r="E10" s="246" t="s">
        <v>841</v>
      </c>
      <c r="F10" s="246" t="s">
        <v>841</v>
      </c>
      <c r="G10" s="119" t="s">
        <v>842</v>
      </c>
      <c r="H10" s="119" t="s">
        <v>841</v>
      </c>
      <c r="J10" s="119" t="str">
        <f>B8</f>
        <v>High-Level Design</v>
      </c>
      <c r="K10" s="119" t="s">
        <v>841</v>
      </c>
      <c r="L10" s="119" t="s">
        <v>841</v>
      </c>
      <c r="M10" s="119" t="s">
        <v>842</v>
      </c>
      <c r="N10" s="119" t="s">
        <v>841</v>
      </c>
      <c r="O10" s="119" t="s">
        <v>841</v>
      </c>
    </row>
    <row r="11" spans="1:15" x14ac:dyDescent="0.25">
      <c r="A11" s="119" t="s">
        <v>847</v>
      </c>
      <c r="B11" s="119" t="s">
        <v>340</v>
      </c>
      <c r="C11" s="246" t="s">
        <v>492</v>
      </c>
      <c r="D11" s="246" t="s">
        <v>841</v>
      </c>
      <c r="E11" s="246" t="s">
        <v>841</v>
      </c>
      <c r="F11" s="246" t="s">
        <v>841</v>
      </c>
      <c r="G11" s="119" t="s">
        <v>842</v>
      </c>
      <c r="H11" s="119" t="s">
        <v>842</v>
      </c>
      <c r="J11" s="119" t="str">
        <f>B15</f>
        <v>Code</v>
      </c>
      <c r="K11" s="119" t="s">
        <v>842</v>
      </c>
      <c r="L11" s="119" t="s">
        <v>841</v>
      </c>
      <c r="M11" s="119" t="s">
        <v>842</v>
      </c>
      <c r="N11" s="119" t="s">
        <v>841</v>
      </c>
      <c r="O11" s="119" t="s">
        <v>841</v>
      </c>
    </row>
    <row r="12" spans="1:15" x14ac:dyDescent="0.25">
      <c r="A12" s="119" t="s">
        <v>848</v>
      </c>
      <c r="B12" s="119" t="s">
        <v>342</v>
      </c>
      <c r="C12" s="246" t="s">
        <v>492</v>
      </c>
      <c r="D12" s="246" t="s">
        <v>841</v>
      </c>
      <c r="E12" s="246" t="s">
        <v>841</v>
      </c>
      <c r="F12" s="246" t="s">
        <v>841</v>
      </c>
      <c r="G12" s="119" t="s">
        <v>842</v>
      </c>
      <c r="H12" s="119" t="s">
        <v>841</v>
      </c>
      <c r="I12" s="119" t="str">
        <f>B19</f>
        <v>Unit Test</v>
      </c>
      <c r="J12" s="119" t="str">
        <f>B11</f>
        <v>Detailed Design</v>
      </c>
      <c r="K12" s="119" t="s">
        <v>841</v>
      </c>
      <c r="L12" s="119" t="s">
        <v>841</v>
      </c>
      <c r="M12" s="119" t="s">
        <v>842</v>
      </c>
      <c r="N12" s="119" t="s">
        <v>841</v>
      </c>
      <c r="O12" s="119" t="s">
        <v>841</v>
      </c>
    </row>
    <row r="13" spans="1:15" x14ac:dyDescent="0.25">
      <c r="A13" s="119" t="s">
        <v>849</v>
      </c>
      <c r="B13" s="119" t="s">
        <v>344</v>
      </c>
      <c r="C13" s="246" t="s">
        <v>492</v>
      </c>
      <c r="D13" s="246" t="s">
        <v>841</v>
      </c>
      <c r="E13" s="246" t="s">
        <v>841</v>
      </c>
      <c r="F13" s="246" t="s">
        <v>841</v>
      </c>
      <c r="G13" s="119" t="s">
        <v>842</v>
      </c>
      <c r="H13" s="119" t="s">
        <v>842</v>
      </c>
      <c r="K13" s="119" t="s">
        <v>842</v>
      </c>
      <c r="L13" s="119" t="s">
        <v>841</v>
      </c>
      <c r="M13" s="119" t="s">
        <v>842</v>
      </c>
      <c r="N13" s="119" t="s">
        <v>841</v>
      </c>
      <c r="O13" s="119" t="s">
        <v>841</v>
      </c>
    </row>
    <row r="14" spans="1:15" x14ac:dyDescent="0.25">
      <c r="A14" s="119" t="s">
        <v>850</v>
      </c>
      <c r="B14" s="119" t="s">
        <v>346</v>
      </c>
      <c r="C14" s="246" t="s">
        <v>492</v>
      </c>
      <c r="D14" s="246" t="s">
        <v>841</v>
      </c>
      <c r="E14" s="246" t="s">
        <v>841</v>
      </c>
      <c r="F14" s="246" t="s">
        <v>841</v>
      </c>
      <c r="G14" s="119" t="s">
        <v>842</v>
      </c>
      <c r="H14" s="119" t="s">
        <v>841</v>
      </c>
      <c r="K14" s="119" t="s">
        <v>841</v>
      </c>
      <c r="L14" s="119" t="s">
        <v>841</v>
      </c>
      <c r="M14" s="119" t="s">
        <v>842</v>
      </c>
      <c r="N14" s="119" t="s">
        <v>841</v>
      </c>
      <c r="O14" s="119" t="s">
        <v>841</v>
      </c>
    </row>
    <row r="15" spans="1:15" x14ac:dyDescent="0.25">
      <c r="A15" s="119" t="s">
        <v>576</v>
      </c>
      <c r="B15" s="119" t="s">
        <v>347</v>
      </c>
      <c r="C15" s="246" t="s">
        <v>492</v>
      </c>
      <c r="D15" s="246" t="s">
        <v>841</v>
      </c>
      <c r="E15" s="246" t="s">
        <v>841</v>
      </c>
      <c r="F15" s="246" t="s">
        <v>841</v>
      </c>
      <c r="G15" s="119" t="s">
        <v>842</v>
      </c>
      <c r="H15" s="119" t="s">
        <v>842</v>
      </c>
      <c r="K15" s="119" t="s">
        <v>842</v>
      </c>
      <c r="L15" s="119" t="s">
        <v>841</v>
      </c>
      <c r="M15" s="119" t="s">
        <v>842</v>
      </c>
      <c r="N15" s="119" t="s">
        <v>841</v>
      </c>
      <c r="O15" s="119" t="s">
        <v>841</v>
      </c>
    </row>
    <row r="16" spans="1:15" x14ac:dyDescent="0.25">
      <c r="A16" s="119" t="s">
        <v>851</v>
      </c>
      <c r="B16" s="119" t="s">
        <v>348</v>
      </c>
      <c r="C16" s="246" t="s">
        <v>492</v>
      </c>
      <c r="D16" s="246" t="s">
        <v>841</v>
      </c>
      <c r="E16" s="246" t="s">
        <v>841</v>
      </c>
      <c r="F16" s="246" t="s">
        <v>841</v>
      </c>
      <c r="G16" s="119" t="s">
        <v>842</v>
      </c>
      <c r="H16" s="119" t="s">
        <v>841</v>
      </c>
      <c r="I16" s="119" t="str">
        <f>B17</f>
        <v>Compile</v>
      </c>
      <c r="J16" s="119" t="str">
        <f>B15</f>
        <v>Code</v>
      </c>
      <c r="K16" s="119" t="s">
        <v>841</v>
      </c>
      <c r="L16" s="119" t="s">
        <v>841</v>
      </c>
      <c r="M16" s="119" t="s">
        <v>842</v>
      </c>
      <c r="N16" s="119" t="s">
        <v>841</v>
      </c>
      <c r="O16" s="119" t="s">
        <v>841</v>
      </c>
    </row>
    <row r="17" spans="1:15" x14ac:dyDescent="0.25">
      <c r="A17" s="119" t="s">
        <v>332</v>
      </c>
      <c r="B17" s="119" t="s">
        <v>349</v>
      </c>
      <c r="C17" s="246" t="s">
        <v>492</v>
      </c>
      <c r="D17" s="246" t="s">
        <v>841</v>
      </c>
      <c r="E17" s="246" t="s">
        <v>841</v>
      </c>
      <c r="F17" s="246" t="s">
        <v>841</v>
      </c>
      <c r="G17" s="119" t="s">
        <v>852</v>
      </c>
      <c r="H17" s="119" t="s">
        <v>841</v>
      </c>
      <c r="K17" s="119" t="s">
        <v>842</v>
      </c>
      <c r="L17" s="119" t="s">
        <v>841</v>
      </c>
      <c r="M17" s="119" t="s">
        <v>841</v>
      </c>
      <c r="N17" s="119" t="s">
        <v>841</v>
      </c>
      <c r="O17" s="119" t="s">
        <v>841</v>
      </c>
    </row>
    <row r="18" spans="1:15" x14ac:dyDescent="0.25">
      <c r="A18" s="119" t="s">
        <v>334</v>
      </c>
      <c r="B18" s="119" t="s">
        <v>350</v>
      </c>
      <c r="C18" s="246" t="s">
        <v>492</v>
      </c>
      <c r="D18" s="246" t="s">
        <v>841</v>
      </c>
      <c r="E18" s="246" t="s">
        <v>841</v>
      </c>
      <c r="F18" s="246" t="s">
        <v>841</v>
      </c>
      <c r="G18" s="119" t="s">
        <v>842</v>
      </c>
      <c r="H18" s="119" t="s">
        <v>841</v>
      </c>
      <c r="K18" s="119" t="s">
        <v>841</v>
      </c>
      <c r="L18" s="119" t="s">
        <v>841</v>
      </c>
      <c r="M18" s="119" t="s">
        <v>842</v>
      </c>
      <c r="N18" s="119" t="s">
        <v>841</v>
      </c>
      <c r="O18" s="119" t="s">
        <v>841</v>
      </c>
    </row>
    <row r="19" spans="1:15" x14ac:dyDescent="0.25">
      <c r="A19" s="119" t="s">
        <v>335</v>
      </c>
      <c r="B19" s="119" t="s">
        <v>351</v>
      </c>
      <c r="C19" s="246" t="s">
        <v>492</v>
      </c>
      <c r="D19" s="246" t="s">
        <v>841</v>
      </c>
      <c r="E19" s="246" t="s">
        <v>841</v>
      </c>
      <c r="F19" s="246" t="s">
        <v>841</v>
      </c>
      <c r="G19" s="119" t="s">
        <v>841</v>
      </c>
      <c r="H19" s="119" t="s">
        <v>841</v>
      </c>
      <c r="K19" s="119" t="s">
        <v>842</v>
      </c>
      <c r="L19" s="119" t="s">
        <v>841</v>
      </c>
      <c r="M19" s="119" t="s">
        <v>841</v>
      </c>
      <c r="N19" s="119" t="s">
        <v>841</v>
      </c>
      <c r="O19" s="119" t="s">
        <v>841</v>
      </c>
    </row>
    <row r="20" spans="1:15" x14ac:dyDescent="0.25">
      <c r="A20" s="119" t="s">
        <v>337</v>
      </c>
      <c r="B20" s="119" t="s">
        <v>352</v>
      </c>
      <c r="C20" s="246" t="s">
        <v>840</v>
      </c>
      <c r="D20" s="246" t="s">
        <v>841</v>
      </c>
      <c r="E20" s="246" t="s">
        <v>841</v>
      </c>
      <c r="F20" s="246" t="s">
        <v>841</v>
      </c>
      <c r="G20" s="119" t="s">
        <v>841</v>
      </c>
      <c r="H20" s="119" t="s">
        <v>841</v>
      </c>
      <c r="K20" s="119" t="s">
        <v>842</v>
      </c>
      <c r="L20" s="119" t="s">
        <v>841</v>
      </c>
      <c r="M20" s="119" t="s">
        <v>841</v>
      </c>
      <c r="N20" s="119" t="s">
        <v>841</v>
      </c>
      <c r="O20" s="119" t="s">
        <v>841</v>
      </c>
    </row>
    <row r="21" spans="1:15" x14ac:dyDescent="0.25">
      <c r="A21" s="119" t="s">
        <v>339</v>
      </c>
      <c r="B21" s="119" t="s">
        <v>353</v>
      </c>
      <c r="C21" s="246" t="s">
        <v>840</v>
      </c>
      <c r="D21" s="246" t="s">
        <v>841</v>
      </c>
      <c r="E21" s="246" t="s">
        <v>841</v>
      </c>
      <c r="F21" s="246" t="s">
        <v>841</v>
      </c>
      <c r="G21" s="119" t="s">
        <v>841</v>
      </c>
      <c r="H21" s="119" t="s">
        <v>841</v>
      </c>
      <c r="K21" s="119" t="s">
        <v>842</v>
      </c>
      <c r="L21" s="119" t="s">
        <v>841</v>
      </c>
      <c r="M21" s="119" t="s">
        <v>841</v>
      </c>
      <c r="N21" s="119" t="s">
        <v>841</v>
      </c>
      <c r="O21" s="119" t="s">
        <v>841</v>
      </c>
    </row>
    <row r="22" spans="1:15" x14ac:dyDescent="0.25">
      <c r="A22" s="119" t="s">
        <v>569</v>
      </c>
      <c r="B22" s="119" t="s">
        <v>354</v>
      </c>
      <c r="C22" s="246" t="s">
        <v>840</v>
      </c>
      <c r="D22" s="246" t="s">
        <v>841</v>
      </c>
      <c r="E22" s="246" t="s">
        <v>842</v>
      </c>
      <c r="F22" s="246" t="s">
        <v>842</v>
      </c>
      <c r="G22" s="119" t="s">
        <v>842</v>
      </c>
      <c r="H22" s="119" t="s">
        <v>842</v>
      </c>
      <c r="K22" s="119" t="s">
        <v>842</v>
      </c>
      <c r="L22" s="119" t="s">
        <v>842</v>
      </c>
      <c r="M22" s="119" t="s">
        <v>842</v>
      </c>
      <c r="N22" s="119" t="s">
        <v>842</v>
      </c>
      <c r="O22" s="119" t="s">
        <v>842</v>
      </c>
    </row>
    <row r="23" spans="1:15" x14ac:dyDescent="0.25">
      <c r="A23" s="119" t="s">
        <v>131</v>
      </c>
      <c r="B23" s="119" t="s">
        <v>355</v>
      </c>
      <c r="C23" s="246" t="s">
        <v>840</v>
      </c>
      <c r="D23" s="246" t="s">
        <v>841</v>
      </c>
      <c r="E23" s="246" t="s">
        <v>842</v>
      </c>
      <c r="F23" s="246" t="s">
        <v>842</v>
      </c>
      <c r="G23" s="119" t="s">
        <v>842</v>
      </c>
      <c r="H23" s="119" t="s">
        <v>842</v>
      </c>
      <c r="K23" s="119" t="s">
        <v>842</v>
      </c>
      <c r="L23" s="119" t="s">
        <v>842</v>
      </c>
      <c r="M23" s="119" t="s">
        <v>842</v>
      </c>
      <c r="N23" s="119" t="s">
        <v>842</v>
      </c>
      <c r="O23" s="119" t="s">
        <v>842</v>
      </c>
    </row>
    <row r="24" spans="1:15" x14ac:dyDescent="0.25">
      <c r="A24" s="119" t="s">
        <v>853</v>
      </c>
      <c r="B24" s="119" t="s">
        <v>446</v>
      </c>
      <c r="C24" s="246" t="s">
        <v>842</v>
      </c>
      <c r="D24" s="246" t="s">
        <v>842</v>
      </c>
      <c r="E24" s="246" t="s">
        <v>841</v>
      </c>
      <c r="F24" s="246" t="s">
        <v>841</v>
      </c>
      <c r="G24" s="119" t="s">
        <v>841</v>
      </c>
      <c r="H24" s="119" t="s">
        <v>841</v>
      </c>
      <c r="K24" s="119" t="s">
        <v>842</v>
      </c>
      <c r="L24" s="119" t="s">
        <v>842</v>
      </c>
      <c r="M24" s="119" t="s">
        <v>841</v>
      </c>
      <c r="N24" s="119" t="s">
        <v>842</v>
      </c>
      <c r="O24" s="119" t="s">
        <v>842</v>
      </c>
    </row>
    <row r="25" spans="1:15" x14ac:dyDescent="0.25">
      <c r="A25" s="119" t="s">
        <v>854</v>
      </c>
      <c r="B25" s="119" t="s">
        <v>343</v>
      </c>
      <c r="C25" s="246" t="s">
        <v>842</v>
      </c>
      <c r="D25" s="246" t="s">
        <v>842</v>
      </c>
      <c r="E25" s="246" t="s">
        <v>841</v>
      </c>
      <c r="F25" s="246" t="s">
        <v>841</v>
      </c>
      <c r="G25" s="119" t="s">
        <v>841</v>
      </c>
      <c r="H25" s="119" t="s">
        <v>841</v>
      </c>
      <c r="K25" s="119" t="s">
        <v>842</v>
      </c>
      <c r="L25" s="119" t="s">
        <v>842</v>
      </c>
      <c r="M25" s="119" t="s">
        <v>842</v>
      </c>
      <c r="N25" s="119" t="s">
        <v>842</v>
      </c>
      <c r="O25" s="119" t="s">
        <v>842</v>
      </c>
    </row>
    <row r="44" spans="17:17" x14ac:dyDescent="0.25">
      <c r="Q44" s="1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W37"/>
  <sheetViews>
    <sheetView workbookViewId="0"/>
  </sheetViews>
  <sheetFormatPr baseColWidth="10" defaultColWidth="11.44140625" defaultRowHeight="13.2" x14ac:dyDescent="0.25"/>
  <cols>
    <col min="1" max="1" width="19.6640625" style="2" customWidth="1"/>
    <col min="2" max="2" width="6.6640625" style="2" customWidth="1"/>
    <col min="3" max="3" width="34.44140625" style="2" customWidth="1"/>
    <col min="4" max="257" width="11.44140625" style="2" customWidth="1"/>
  </cols>
  <sheetData>
    <row r="1" spans="1:3" x14ac:dyDescent="0.25">
      <c r="A1" s="247" t="s">
        <v>855</v>
      </c>
      <c r="B1" s="248" t="s">
        <v>856</v>
      </c>
      <c r="C1" s="249" t="s">
        <v>2</v>
      </c>
    </row>
    <row r="2" spans="1:3" x14ac:dyDescent="0.25">
      <c r="A2" s="250" t="s">
        <v>310</v>
      </c>
      <c r="B2" s="251">
        <v>1</v>
      </c>
      <c r="C2" s="252" t="s">
        <v>857</v>
      </c>
    </row>
    <row r="3" spans="1:3" x14ac:dyDescent="0.25">
      <c r="A3" s="85" t="s">
        <v>315</v>
      </c>
      <c r="B3" s="253">
        <v>0.5</v>
      </c>
      <c r="C3" s="16" t="s">
        <v>858</v>
      </c>
    </row>
    <row r="4" spans="1:3" x14ac:dyDescent="0.25">
      <c r="A4" s="85" t="s">
        <v>319</v>
      </c>
      <c r="B4" s="13">
        <v>10</v>
      </c>
      <c r="C4" s="16" t="s">
        <v>859</v>
      </c>
    </row>
    <row r="5" spans="1:3" x14ac:dyDescent="0.25">
      <c r="A5" s="85" t="s">
        <v>324</v>
      </c>
      <c r="B5" s="13">
        <v>5</v>
      </c>
      <c r="C5" s="16" t="s">
        <v>860</v>
      </c>
    </row>
    <row r="6" spans="1:3" x14ac:dyDescent="0.25">
      <c r="A6" s="254" t="s">
        <v>327</v>
      </c>
      <c r="B6" s="255">
        <v>0.5</v>
      </c>
      <c r="C6" s="22" t="s">
        <v>861</v>
      </c>
    </row>
    <row r="34" spans="8:9" x14ac:dyDescent="0.25">
      <c r="I34" s="18"/>
    </row>
    <row r="37" spans="8:9" x14ac:dyDescent="0.25">
      <c r="H37" s="18"/>
    </row>
  </sheetData>
  <dataValidations count="1">
    <dataValidation type="decimal" operator="greaterThan" showErrorMessage="1" error="values must be greater than zero_x000a_" sqref="B2:B6" xr:uid="{00000000-0002-0000-1700-000000000000}">
      <formula1>0</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9"/>
  <sheetViews>
    <sheetView showGridLines="0" workbookViewId="0"/>
  </sheetViews>
  <sheetFormatPr baseColWidth="10" defaultColWidth="8.88671875" defaultRowHeight="13.2" x14ac:dyDescent="0.25"/>
  <cols>
    <col min="1" max="1" width="24" customWidth="1"/>
    <col min="2" max="2" width="22" customWidth="1"/>
    <col min="3" max="3" width="34" customWidth="1"/>
    <col min="4" max="4" width="45" customWidth="1"/>
    <col min="5" max="5" width="30" customWidth="1"/>
    <col min="6" max="7" width="10" customWidth="1"/>
    <col min="8" max="8" width="44" customWidth="1"/>
  </cols>
  <sheetData>
    <row r="1" spans="1:8" ht="105" x14ac:dyDescent="0.25">
      <c r="A1" s="276" t="s">
        <v>868</v>
      </c>
    </row>
    <row r="2" spans="1:8" ht="13.8" x14ac:dyDescent="0.3">
      <c r="A2" s="272"/>
      <c r="B2" s="272"/>
      <c r="C2" s="272"/>
      <c r="D2" s="272"/>
      <c r="E2" s="272"/>
      <c r="F2" s="272"/>
      <c r="G2" s="272"/>
      <c r="H2" s="272"/>
    </row>
    <row r="3" spans="1:8" ht="13.8" x14ac:dyDescent="0.25">
      <c r="A3" s="275" t="s">
        <v>869</v>
      </c>
      <c r="B3" s="275" t="s">
        <v>870</v>
      </c>
      <c r="C3" s="275" t="s">
        <v>871</v>
      </c>
      <c r="D3" s="275" t="s">
        <v>872</v>
      </c>
      <c r="E3" s="275" t="s">
        <v>873</v>
      </c>
      <c r="F3" s="275" t="s">
        <v>874</v>
      </c>
      <c r="G3" s="275" t="s">
        <v>875</v>
      </c>
      <c r="H3" s="275" t="s">
        <v>876</v>
      </c>
    </row>
    <row r="4" spans="1:8" ht="27.6" x14ac:dyDescent="0.25">
      <c r="A4" s="273" t="s">
        <v>877</v>
      </c>
      <c r="B4" s="273" t="s">
        <v>71</v>
      </c>
      <c r="C4" s="273" t="s">
        <v>878</v>
      </c>
      <c r="D4" s="273" t="s">
        <v>879</v>
      </c>
      <c r="E4" s="273" t="s">
        <v>880</v>
      </c>
      <c r="F4" s="277">
        <v>9.1999999999999993</v>
      </c>
      <c r="G4" s="277">
        <v>10.199999999999999</v>
      </c>
      <c r="H4" s="273" t="s">
        <v>881</v>
      </c>
    </row>
    <row r="5" spans="1:8" ht="27.6" x14ac:dyDescent="0.25">
      <c r="A5" s="273" t="s">
        <v>882</v>
      </c>
      <c r="B5" s="273" t="s">
        <v>417</v>
      </c>
      <c r="C5" s="273" t="s">
        <v>883</v>
      </c>
      <c r="D5" s="273" t="s">
        <v>884</v>
      </c>
      <c r="E5" s="273" t="s">
        <v>885</v>
      </c>
      <c r="F5" s="277">
        <v>33.200000000000003</v>
      </c>
      <c r="G5" s="277">
        <v>34.700000000000003</v>
      </c>
      <c r="H5" s="273" t="s">
        <v>886</v>
      </c>
    </row>
    <row r="6" spans="1:8" ht="55.2" x14ac:dyDescent="0.25">
      <c r="A6" s="273" t="s">
        <v>887</v>
      </c>
      <c r="B6" s="273" t="s">
        <v>79</v>
      </c>
      <c r="C6" s="273" t="s">
        <v>888</v>
      </c>
      <c r="D6" s="273" t="s">
        <v>889</v>
      </c>
      <c r="E6" s="273" t="s">
        <v>890</v>
      </c>
      <c r="F6" s="277">
        <v>23.2</v>
      </c>
      <c r="G6" s="277">
        <v>24</v>
      </c>
      <c r="H6" s="273" t="s">
        <v>891</v>
      </c>
    </row>
    <row r="7" spans="1:8" ht="41.4" x14ac:dyDescent="0.25">
      <c r="A7" s="273" t="s">
        <v>892</v>
      </c>
      <c r="B7" s="273" t="s">
        <v>95</v>
      </c>
      <c r="C7" s="273" t="s">
        <v>893</v>
      </c>
      <c r="D7" s="273" t="s">
        <v>894</v>
      </c>
      <c r="E7" s="273" t="s">
        <v>895</v>
      </c>
      <c r="F7" s="277">
        <v>16.8</v>
      </c>
      <c r="G7" s="277">
        <v>17.8</v>
      </c>
      <c r="H7" s="273" t="s">
        <v>896</v>
      </c>
    </row>
    <row r="8" spans="1:8" ht="27.6" x14ac:dyDescent="0.25">
      <c r="A8" s="273" t="s">
        <v>897</v>
      </c>
      <c r="B8" s="273" t="s">
        <v>418</v>
      </c>
      <c r="C8" s="273" t="s">
        <v>898</v>
      </c>
      <c r="D8" s="273" t="s">
        <v>899</v>
      </c>
      <c r="E8" s="273" t="s">
        <v>900</v>
      </c>
      <c r="F8" s="277">
        <v>3.7</v>
      </c>
      <c r="G8" s="277">
        <v>4.8</v>
      </c>
      <c r="H8" s="273" t="s">
        <v>901</v>
      </c>
    </row>
    <row r="9" spans="1:8" ht="41.4" x14ac:dyDescent="0.25">
      <c r="A9" s="273" t="s">
        <v>902</v>
      </c>
      <c r="B9" s="273" t="s">
        <v>903</v>
      </c>
      <c r="C9" s="273" t="s">
        <v>904</v>
      </c>
      <c r="D9" s="273" t="s">
        <v>905</v>
      </c>
      <c r="E9" s="273" t="s">
        <v>906</v>
      </c>
      <c r="F9" s="277">
        <v>7</v>
      </c>
      <c r="G9" s="277">
        <v>6</v>
      </c>
      <c r="H9" s="273" t="s">
        <v>907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7"/>
  <sheetViews>
    <sheetView showGridLines="0" tabSelected="1" workbookViewId="0">
      <selection activeCell="H1" sqref="H1"/>
    </sheetView>
  </sheetViews>
  <sheetFormatPr baseColWidth="10" defaultColWidth="8.88671875" defaultRowHeight="13.2" x14ac:dyDescent="0.25"/>
  <cols>
    <col min="1" max="1" width="7" customWidth="1"/>
    <col min="2" max="2" width="18" customWidth="1"/>
    <col min="3" max="3" width="24" customWidth="1"/>
    <col min="4" max="4" width="38" customWidth="1"/>
    <col min="5" max="5" width="34" customWidth="1"/>
    <col min="6" max="6" width="28" customWidth="1"/>
    <col min="7" max="7" width="9" customWidth="1"/>
    <col min="8" max="8" width="18" customWidth="1"/>
    <col min="9" max="9" width="22" customWidth="1"/>
  </cols>
  <sheetData>
    <row r="1" spans="1:9" ht="127.2" customHeight="1" x14ac:dyDescent="0.25">
      <c r="A1" s="306" t="s">
        <v>908</v>
      </c>
      <c r="B1" s="306"/>
      <c r="C1" s="306"/>
      <c r="D1" s="306"/>
      <c r="E1" s="306"/>
      <c r="F1" s="307"/>
      <c r="G1" s="307"/>
      <c r="H1" s="307"/>
      <c r="I1" s="276"/>
    </row>
    <row r="2" spans="1:9" ht="13.8" x14ac:dyDescent="0.3">
      <c r="A2" s="272"/>
      <c r="B2" s="272"/>
      <c r="C2" s="272"/>
      <c r="D2" s="272"/>
      <c r="E2" s="272"/>
      <c r="F2" s="272"/>
      <c r="G2" s="272"/>
      <c r="H2" s="272"/>
      <c r="I2" s="272"/>
    </row>
    <row r="3" spans="1:9" ht="13.8" x14ac:dyDescent="0.25">
      <c r="A3" s="275" t="s">
        <v>356</v>
      </c>
      <c r="B3" s="275" t="s">
        <v>909</v>
      </c>
      <c r="C3" s="275" t="s">
        <v>910</v>
      </c>
      <c r="D3" s="275" t="s">
        <v>911</v>
      </c>
      <c r="E3" s="275" t="s">
        <v>912</v>
      </c>
      <c r="F3" s="275" t="s">
        <v>913</v>
      </c>
      <c r="G3" s="275" t="s">
        <v>862</v>
      </c>
      <c r="H3" s="275" t="s">
        <v>873</v>
      </c>
      <c r="I3" s="275" t="s">
        <v>914</v>
      </c>
    </row>
    <row r="4" spans="1:9" ht="27.6" x14ac:dyDescent="0.25">
      <c r="A4" s="273" t="s">
        <v>915</v>
      </c>
      <c r="B4" s="273" t="s">
        <v>916</v>
      </c>
      <c r="C4" s="273" t="s">
        <v>917</v>
      </c>
      <c r="D4" s="273" t="s">
        <v>918</v>
      </c>
      <c r="E4" s="273" t="s">
        <v>919</v>
      </c>
      <c r="F4" s="273" t="s">
        <v>920</v>
      </c>
      <c r="G4" s="274" t="s">
        <v>921</v>
      </c>
      <c r="H4" s="273" t="s">
        <v>866</v>
      </c>
      <c r="I4" s="273" t="s">
        <v>864</v>
      </c>
    </row>
    <row r="5" spans="1:9" ht="27.6" x14ac:dyDescent="0.25">
      <c r="A5" s="273" t="s">
        <v>922</v>
      </c>
      <c r="B5" s="273" t="s">
        <v>916</v>
      </c>
      <c r="C5" s="273" t="s">
        <v>923</v>
      </c>
      <c r="D5" s="273" t="s">
        <v>924</v>
      </c>
      <c r="E5" s="273" t="s">
        <v>925</v>
      </c>
      <c r="F5" s="273" t="s">
        <v>926</v>
      </c>
      <c r="G5" s="274" t="s">
        <v>921</v>
      </c>
      <c r="H5" s="273" t="s">
        <v>866</v>
      </c>
      <c r="I5" s="273" t="s">
        <v>864</v>
      </c>
    </row>
    <row r="6" spans="1:9" ht="27.6" x14ac:dyDescent="0.25">
      <c r="A6" s="273" t="s">
        <v>927</v>
      </c>
      <c r="B6" s="273" t="s">
        <v>916</v>
      </c>
      <c r="C6" s="273" t="s">
        <v>928</v>
      </c>
      <c r="D6" s="273" t="s">
        <v>929</v>
      </c>
      <c r="E6" s="273" t="s">
        <v>930</v>
      </c>
      <c r="F6" s="273" t="s">
        <v>931</v>
      </c>
      <c r="G6" s="274" t="s">
        <v>921</v>
      </c>
      <c r="H6" s="273" t="s">
        <v>866</v>
      </c>
      <c r="I6" s="273" t="s">
        <v>864</v>
      </c>
    </row>
    <row r="7" spans="1:9" ht="13.8" x14ac:dyDescent="0.25">
      <c r="A7" s="273" t="s">
        <v>932</v>
      </c>
      <c r="B7" s="273" t="s">
        <v>916</v>
      </c>
      <c r="C7" s="273" t="s">
        <v>933</v>
      </c>
      <c r="D7" s="273" t="s">
        <v>934</v>
      </c>
      <c r="E7" s="273" t="s">
        <v>935</v>
      </c>
      <c r="F7" s="273" t="s">
        <v>936</v>
      </c>
      <c r="G7" s="274" t="s">
        <v>921</v>
      </c>
      <c r="H7" s="273" t="s">
        <v>937</v>
      </c>
      <c r="I7" s="273" t="s">
        <v>864</v>
      </c>
    </row>
    <row r="8" spans="1:9" ht="27.6" x14ac:dyDescent="0.25">
      <c r="A8" s="273" t="s">
        <v>938</v>
      </c>
      <c r="B8" s="273" t="s">
        <v>939</v>
      </c>
      <c r="C8" s="273" t="s">
        <v>867</v>
      </c>
      <c r="D8" s="273" t="s">
        <v>940</v>
      </c>
      <c r="E8" s="273" t="s">
        <v>941</v>
      </c>
      <c r="F8" s="273" t="s">
        <v>942</v>
      </c>
      <c r="G8" s="274" t="s">
        <v>921</v>
      </c>
      <c r="H8" s="273" t="s">
        <v>866</v>
      </c>
      <c r="I8" s="273" t="s">
        <v>943</v>
      </c>
    </row>
    <row r="9" spans="1:9" ht="13.8" x14ac:dyDescent="0.25">
      <c r="A9" s="273" t="s">
        <v>944</v>
      </c>
      <c r="B9" s="273" t="s">
        <v>945</v>
      </c>
      <c r="C9" s="273" t="s">
        <v>946</v>
      </c>
      <c r="D9" s="273" t="s">
        <v>947</v>
      </c>
      <c r="E9" s="273" t="s">
        <v>948</v>
      </c>
      <c r="F9" s="273" t="s">
        <v>949</v>
      </c>
      <c r="G9" s="274" t="s">
        <v>921</v>
      </c>
      <c r="H9" s="273" t="s">
        <v>726</v>
      </c>
      <c r="I9" s="273" t="s">
        <v>945</v>
      </c>
    </row>
    <row r="10" spans="1:9" ht="27.6" x14ac:dyDescent="0.25">
      <c r="A10" s="273" t="s">
        <v>950</v>
      </c>
      <c r="B10" s="273" t="s">
        <v>945</v>
      </c>
      <c r="C10" s="273" t="s">
        <v>951</v>
      </c>
      <c r="D10" s="273" t="s">
        <v>952</v>
      </c>
      <c r="E10" s="273" t="s">
        <v>953</v>
      </c>
      <c r="F10" s="273" t="s">
        <v>949</v>
      </c>
      <c r="G10" s="274" t="s">
        <v>921</v>
      </c>
      <c r="H10" s="273" t="s">
        <v>726</v>
      </c>
      <c r="I10" s="273" t="s">
        <v>945</v>
      </c>
    </row>
    <row r="11" spans="1:9" ht="13.8" x14ac:dyDescent="0.25">
      <c r="A11" s="273" t="s">
        <v>954</v>
      </c>
      <c r="B11" s="273" t="s">
        <v>955</v>
      </c>
      <c r="C11" s="273" t="s">
        <v>956</v>
      </c>
      <c r="D11" s="273" t="s">
        <v>957</v>
      </c>
      <c r="E11" s="273" t="s">
        <v>958</v>
      </c>
      <c r="F11" s="273" t="s">
        <v>959</v>
      </c>
      <c r="G11" s="274" t="s">
        <v>921</v>
      </c>
      <c r="H11" s="273" t="s">
        <v>726</v>
      </c>
      <c r="I11" s="273" t="s">
        <v>955</v>
      </c>
    </row>
    <row r="12" spans="1:9" ht="13.8" x14ac:dyDescent="0.25">
      <c r="A12" s="273" t="s">
        <v>960</v>
      </c>
      <c r="B12" s="273" t="s">
        <v>863</v>
      </c>
      <c r="C12" s="273" t="s">
        <v>961</v>
      </c>
      <c r="D12" s="273" t="s">
        <v>962</v>
      </c>
      <c r="E12" s="273" t="s">
        <v>963</v>
      </c>
      <c r="F12" s="273" t="s">
        <v>964</v>
      </c>
      <c r="G12" s="274" t="s">
        <v>921</v>
      </c>
      <c r="H12" s="273" t="s">
        <v>965</v>
      </c>
      <c r="I12" s="273" t="s">
        <v>863</v>
      </c>
    </row>
    <row r="13" spans="1:9" ht="13.8" x14ac:dyDescent="0.25">
      <c r="A13" s="273" t="s">
        <v>966</v>
      </c>
      <c r="B13" s="273" t="s">
        <v>863</v>
      </c>
      <c r="C13" s="273" t="s">
        <v>967</v>
      </c>
      <c r="D13" s="273" t="s">
        <v>968</v>
      </c>
      <c r="E13" s="273" t="s">
        <v>969</v>
      </c>
      <c r="F13" s="273" t="s">
        <v>970</v>
      </c>
      <c r="G13" s="274" t="s">
        <v>921</v>
      </c>
      <c r="H13" s="273" t="s">
        <v>965</v>
      </c>
      <c r="I13" s="273" t="s">
        <v>863</v>
      </c>
    </row>
    <row r="14" spans="1:9" ht="13.8" x14ac:dyDescent="0.25">
      <c r="A14" s="273" t="s">
        <v>971</v>
      </c>
      <c r="B14" s="273" t="s">
        <v>972</v>
      </c>
      <c r="C14" s="273" t="s">
        <v>973</v>
      </c>
      <c r="D14" s="273" t="s">
        <v>974</v>
      </c>
      <c r="E14" s="273" t="s">
        <v>975</v>
      </c>
      <c r="F14" s="273" t="s">
        <v>976</v>
      </c>
      <c r="G14" s="274" t="s">
        <v>921</v>
      </c>
      <c r="H14" s="273" t="s">
        <v>965</v>
      </c>
      <c r="I14" s="273" t="s">
        <v>863</v>
      </c>
    </row>
    <row r="15" spans="1:9" ht="13.8" x14ac:dyDescent="0.25">
      <c r="A15" s="273" t="s">
        <v>977</v>
      </c>
      <c r="B15" s="273" t="s">
        <v>748</v>
      </c>
      <c r="C15" s="273" t="s">
        <v>978</v>
      </c>
      <c r="D15" s="273" t="s">
        <v>979</v>
      </c>
      <c r="E15" s="273" t="s">
        <v>980</v>
      </c>
      <c r="F15" s="273" t="s">
        <v>981</v>
      </c>
      <c r="G15" s="274" t="s">
        <v>921</v>
      </c>
      <c r="H15" s="273" t="s">
        <v>982</v>
      </c>
      <c r="I15" s="273" t="s">
        <v>865</v>
      </c>
    </row>
    <row r="16" spans="1:9" ht="13.8" x14ac:dyDescent="0.25">
      <c r="A16" s="273" t="s">
        <v>983</v>
      </c>
      <c r="B16" s="273" t="s">
        <v>748</v>
      </c>
      <c r="C16" s="273" t="s">
        <v>984</v>
      </c>
      <c r="D16" s="273" t="s">
        <v>985</v>
      </c>
      <c r="E16" s="273" t="s">
        <v>986</v>
      </c>
      <c r="F16" s="273" t="s">
        <v>987</v>
      </c>
      <c r="G16" s="274" t="s">
        <v>921</v>
      </c>
      <c r="H16" s="273" t="s">
        <v>982</v>
      </c>
      <c r="I16" s="273" t="s">
        <v>988</v>
      </c>
    </row>
    <row r="17" spans="1:9" ht="13.8" x14ac:dyDescent="0.25">
      <c r="A17" s="273" t="s">
        <v>989</v>
      </c>
      <c r="B17" s="273" t="s">
        <v>943</v>
      </c>
      <c r="C17" s="273" t="s">
        <v>990</v>
      </c>
      <c r="D17" s="273" t="s">
        <v>991</v>
      </c>
      <c r="E17" s="273" t="s">
        <v>992</v>
      </c>
      <c r="F17" s="273" t="s">
        <v>993</v>
      </c>
      <c r="G17" s="274" t="s">
        <v>921</v>
      </c>
      <c r="H17" s="273" t="s">
        <v>982</v>
      </c>
      <c r="I17" s="273" t="s">
        <v>994</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68</vt:i4>
      </vt:variant>
    </vt:vector>
  </HeadingPairs>
  <TitlesOfParts>
    <vt:vector size="94" baseType="lpstr">
      <vt:lpstr>Index</vt:lpstr>
      <vt:lpstr>TSPi Instructions</vt:lpstr>
      <vt:lpstr>TSP Instructions</vt:lpstr>
      <vt:lpstr>PlanGuide</vt:lpstr>
      <vt:lpstr>QualGuide</vt:lpstr>
      <vt:lpstr>Project</vt:lpstr>
      <vt:lpstr>Team</vt:lpstr>
      <vt:lpstr>Goals</vt:lpstr>
      <vt:lpstr>Roles</vt:lpstr>
      <vt:lpstr>SUMP</vt:lpstr>
      <vt:lpstr>SUMQ</vt:lpstr>
      <vt:lpstr>SUMS</vt:lpstr>
      <vt:lpstr>S</vt:lpstr>
      <vt:lpstr>Task</vt:lpstr>
      <vt:lpstr>Schedule</vt:lpstr>
      <vt:lpstr>Risk</vt:lpstr>
      <vt:lpstr>LOGT</vt:lpstr>
      <vt:lpstr>LOGD</vt:lpstr>
      <vt:lpstr>Week</vt:lpstr>
      <vt:lpstr>IRTL</vt:lpstr>
      <vt:lpstr>IRWeek</vt:lpstr>
      <vt:lpstr>DefectTypes</vt:lpstr>
      <vt:lpstr>Phases</vt:lpstr>
      <vt:lpstr>QProfParam</vt:lpstr>
      <vt:lpstr>Roles_E3</vt:lpstr>
      <vt:lpstr>Pruebas_E3</vt:lpstr>
      <vt:lpstr>AsOfDateOverride</vt:lpstr>
      <vt:lpstr>Compile_Defects_KLOC</vt:lpstr>
      <vt:lpstr>Compile_Defects_KLOC_Plan</vt:lpstr>
      <vt:lpstr>ComponentQP</vt:lpstr>
      <vt:lpstr>CR_Code_Time_Ratio</vt:lpstr>
      <vt:lpstr>CR_Code_Time_Ratio_Plan</vt:lpstr>
      <vt:lpstr>CumEarnedValue</vt:lpstr>
      <vt:lpstr>CumPlannedActualHours</vt:lpstr>
      <vt:lpstr>Cumulative_Defects_Removed_Plan_Actual</vt:lpstr>
      <vt:lpstr>currentDate</vt:lpstr>
      <vt:lpstr>Cycle</vt:lpstr>
      <vt:lpstr>Defects_Injected_in_Phase_Actual_Percent</vt:lpstr>
      <vt:lpstr>Defects_KLOC</vt:lpstr>
      <vt:lpstr>Defects_KLOC_Plan</vt:lpstr>
      <vt:lpstr>Defects_KLOC_Plan_Actual</vt:lpstr>
      <vt:lpstr>Defects_Removed_in_Phase_Actual_Percent</vt:lpstr>
      <vt:lpstr>Defects_Removed_Plan_Actual</vt:lpstr>
      <vt:lpstr>DefectTypesDatabaseRange</vt:lpstr>
      <vt:lpstr>DLD_Code_Time_Ratio</vt:lpstr>
      <vt:lpstr>DLD_Code_Time_Ratio_Plan</vt:lpstr>
      <vt:lpstr>DLDR_DLD_Time_Ratio</vt:lpstr>
      <vt:lpstr>DLDR_DLD_Time_Ratio_Plan</vt:lpstr>
      <vt:lpstr>EarnedValue</vt:lpstr>
      <vt:lpstr>LOGD!Excel_BuiltIn__FilterDatabase</vt:lpstr>
      <vt:lpstr>LOGT!Excel_BuiltIn__FilterDatabase</vt:lpstr>
      <vt:lpstr>Schedule!Excel_BuiltIn__FilterDatabase</vt:lpstr>
      <vt:lpstr>SUMS!Excel_BuiltIn__FilterDatabase</vt:lpstr>
      <vt:lpstr>Task!Excel_BuiltIn__FilterDatabase</vt:lpstr>
      <vt:lpstr>GoalsDatabaseRange</vt:lpstr>
      <vt:lpstr>Inspection_Review_Rates_Plan_Actual</vt:lpstr>
      <vt:lpstr>InstructorName</vt:lpstr>
      <vt:lpstr>IRTLDatabaseRange</vt:lpstr>
      <vt:lpstr>LOGDDatabaseRange</vt:lpstr>
      <vt:lpstr>LOGTDatabaseRange</vt:lpstr>
      <vt:lpstr>Name</vt:lpstr>
      <vt:lpstr>Phase_Yield_Plan_Actual</vt:lpstr>
      <vt:lpstr>PhaseInjectionRateDefaults</vt:lpstr>
      <vt:lpstr>PhasesDatabaseRange</vt:lpstr>
      <vt:lpstr>PhaseYieldDefaults</vt:lpstr>
      <vt:lpstr>PlannedActualHours</vt:lpstr>
      <vt:lpstr>PlannedPhaseInjectionRates</vt:lpstr>
      <vt:lpstr>PlannedPhaseYields</vt:lpstr>
      <vt:lpstr>Process_Yield_Plan_Actual</vt:lpstr>
      <vt:lpstr>ProjectInfo</vt:lpstr>
      <vt:lpstr>ProjectName</vt:lpstr>
      <vt:lpstr>ProjectStartDate</vt:lpstr>
      <vt:lpstr>QPI_Plan_Actual</vt:lpstr>
      <vt:lpstr>QProfParams</vt:lpstr>
      <vt:lpstr>RolesData</vt:lpstr>
      <vt:lpstr>ScheduleDatabaseRange</vt:lpstr>
      <vt:lpstr>SUMQData</vt:lpstr>
      <vt:lpstr>SUMSDatabaseRange</vt:lpstr>
      <vt:lpstr>SYSTEM_Percent_Defect_Free</vt:lpstr>
      <vt:lpstr>TaskDatabaseRange</vt:lpstr>
      <vt:lpstr>TeamData</vt:lpstr>
      <vt:lpstr>TeamDatabaseRange</vt:lpstr>
      <vt:lpstr>TeamName</vt:lpstr>
      <vt:lpstr>TeamTasksHoursWeeks</vt:lpstr>
      <vt:lpstr>theWeekToShow</vt:lpstr>
      <vt:lpstr>theWeekToShowDate</vt:lpstr>
      <vt:lpstr>Time_in_Phase_Actual_Percent</vt:lpstr>
      <vt:lpstr>TSPProcessName</vt:lpstr>
      <vt:lpstr>Unit_Test_Defects_KLOC</vt:lpstr>
      <vt:lpstr>Unit_Test_Defects_KLOC_Plan</vt:lpstr>
      <vt:lpstr>validTeamMembersInitials</vt:lpstr>
      <vt:lpstr>Version</vt:lpstr>
      <vt:lpstr>WeekAssemblySelected</vt:lpstr>
      <vt:lpstr>WEEKData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EDISON NORVEY LUIS SANCHEZ</cp:lastModifiedBy>
  <dcterms:created xsi:type="dcterms:W3CDTF">2026-06-24T01:11:30Z</dcterms:created>
  <dcterms:modified xsi:type="dcterms:W3CDTF">2026-06-24T01:36:15Z</dcterms:modified>
</cp:coreProperties>
</file>